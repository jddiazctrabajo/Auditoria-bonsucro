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jddiazc_providenciaco_com/Documents/Proyectos/Proyecto_Fertilizacion/data/entrada/"/>
    </mc:Choice>
  </mc:AlternateContent>
  <xr:revisionPtr revIDLastSave="1257" documentId="13_ncr:1_{0EA87BDB-9D67-434C-A25D-8190384BC781}" xr6:coauthVersionLast="47" xr6:coauthVersionMax="47" xr10:uidLastSave="{3617318A-7AEE-4468-B730-159040CD9BB0}"/>
  <bookViews>
    <workbookView xWindow="28680" yWindow="-120" windowWidth="29040" windowHeight="15840" xr2:uid="{00000000-000D-0000-FFFF-FFFF00000000}"/>
  </bookViews>
  <sheets>
    <sheet name="FORMATO FERT" sheetId="1" r:id="rId1"/>
    <sheet name="FERTILIZANTES" sheetId="8" r:id="rId2"/>
    <sheet name="HERBICIDAS" sheetId="9" r:id="rId3"/>
    <sheet name="CONTROL QUIMICO " sheetId="4" r:id="rId4"/>
    <sheet name="COMBUSTIBLE" sheetId="6" r:id="rId5"/>
    <sheet name="ENERGIA" sheetId="7" r:id="rId6"/>
  </sheets>
  <definedNames>
    <definedName name="_xlnm._FilterDatabase" localSheetId="0" hidden="1">'FORMATO FERT'!$C$3:$M$45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L8" i="1"/>
  <c r="L7" i="1"/>
  <c r="L6" i="1"/>
  <c r="L5" i="1"/>
  <c r="L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Melannie Andrea Muñoz Hernandez</author>
  </authors>
  <commentList>
    <comment ref="L3" authorId="0" shapeId="0" xr:uid="{4210724A-A732-4707-B18C-0FAD5B41EC4C}">
      <text>
        <r>
          <rPr>
            <b/>
            <sz val="9"/>
            <color indexed="81"/>
            <rFont val="Tahoma"/>
            <charset val="1"/>
          </rPr>
          <t>Melannie Andrea Muñoz Hernandez:</t>
        </r>
        <r>
          <rPr>
            <sz val="9"/>
            <color indexed="81"/>
            <rFont val="Tahoma"/>
            <charset val="1"/>
          </rPr>
          <t xml:space="preserve">
Cantidad= Dosis x Ha * Área</t>
        </r>
      </text>
    </comment>
  </commentList>
</comments>
</file>

<file path=xl/sharedStrings.xml><?xml version="1.0" encoding="utf-8"?>
<sst xmlns="http://schemas.openxmlformats.org/spreadsheetml/2006/main" count="439" uniqueCount="204">
  <si>
    <t xml:space="preserve">SUERTE </t>
  </si>
  <si>
    <t>ÁREA</t>
  </si>
  <si>
    <t>PRODUCTO</t>
  </si>
  <si>
    <t xml:space="preserve">CANTIDAD </t>
  </si>
  <si>
    <t>UNIDAD</t>
  </si>
  <si>
    <t xml:space="preserve">DOSIS </t>
  </si>
  <si>
    <t xml:space="preserve">UNIDAD </t>
  </si>
  <si>
    <t>UREA</t>
  </si>
  <si>
    <t>NITRATO DE CALCIO</t>
  </si>
  <si>
    <t>SOLUCION UAN</t>
  </si>
  <si>
    <t>MICROESENCIAL</t>
  </si>
  <si>
    <t>MICROFERTIL</t>
  </si>
  <si>
    <t>Columna1</t>
  </si>
  <si>
    <t>AMIDAS</t>
  </si>
  <si>
    <t>L</t>
  </si>
  <si>
    <t>Kg</t>
  </si>
  <si>
    <t xml:space="preserve">Bultos </t>
  </si>
  <si>
    <t>L/ha</t>
  </si>
  <si>
    <t>Kg/ha</t>
  </si>
  <si>
    <t>Bultos/ha</t>
  </si>
  <si>
    <t>AMETRINA</t>
  </si>
  <si>
    <t>ATRAZINA</t>
  </si>
  <si>
    <t>DIURON</t>
  </si>
  <si>
    <t>GLIFOSATO</t>
  </si>
  <si>
    <t>HEXAZINONA</t>
  </si>
  <si>
    <t>MESOTRIONE</t>
  </si>
  <si>
    <t>METSULFURON</t>
  </si>
  <si>
    <t>PICLORAM</t>
  </si>
  <si>
    <t>TERBUTRINA</t>
  </si>
  <si>
    <t>BONKER</t>
  </si>
  <si>
    <t>CORDIAL SL</t>
  </si>
  <si>
    <t>INEX-A</t>
  </si>
  <si>
    <t>TERBUTREX</t>
  </si>
  <si>
    <t>Gal/ha</t>
  </si>
  <si>
    <t>g/ha</t>
  </si>
  <si>
    <t xml:space="preserve">Kg/ha </t>
  </si>
  <si>
    <t>MES</t>
  </si>
  <si>
    <t>ENERO</t>
  </si>
  <si>
    <t>FEBRERO</t>
  </si>
  <si>
    <t xml:space="preserve">MARZO </t>
  </si>
  <si>
    <t>ABRIL</t>
  </si>
  <si>
    <t>MEZCLA (26-6-10)</t>
  </si>
  <si>
    <t>MEZCLA (27-0-12)</t>
  </si>
  <si>
    <t>MEZCLA PRECISAGRO</t>
  </si>
  <si>
    <t>ACIDO FOSFORICO</t>
  </si>
  <si>
    <t>AZUTEC</t>
  </si>
  <si>
    <t>BLINDER DUO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</si>
  <si>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</si>
  <si>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</si>
  <si>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</si>
  <si>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</si>
  <si>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</si>
  <si>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</si>
  <si>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</si>
  <si>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</si>
  <si>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EXACTUS 75 WG</t>
  </si>
  <si>
    <t>FECHAS</t>
  </si>
  <si>
    <t xml:space="preserve">LABOR </t>
  </si>
  <si>
    <t>ACPM</t>
  </si>
  <si>
    <t>GASOLINA</t>
  </si>
  <si>
    <t>OTRO (MEZCLA)</t>
  </si>
  <si>
    <t>UNIDADES - N</t>
  </si>
  <si>
    <t>UNIDADES - P</t>
  </si>
  <si>
    <t>UNIDADES - K</t>
  </si>
  <si>
    <t>MENORES</t>
  </si>
  <si>
    <t>UNIDADES</t>
  </si>
  <si>
    <t>INSUMOS</t>
  </si>
  <si>
    <t>AMINA 2,4 D</t>
  </si>
  <si>
    <t>NITROSMART 46-0-0</t>
  </si>
  <si>
    <t>NITROXTEND+S</t>
  </si>
  <si>
    <t>SULFATO DE AMONIO - SAM</t>
  </si>
  <si>
    <t>SULFATO DE POTASIO - SOP</t>
  </si>
  <si>
    <t>ELEMENTOS MENORES</t>
  </si>
  <si>
    <t>NUCLEO DE HIERRO</t>
  </si>
  <si>
    <t>CLORURO DE POTASIO - KCL</t>
  </si>
  <si>
    <t>MEZCLAS</t>
  </si>
  <si>
    <t>MEZCLA UREA + SAM</t>
  </si>
  <si>
    <t>MEZCLA DE NITROXTED+S+SOP+SAM+NUCLEO HIERRO</t>
  </si>
  <si>
    <t>SUGAR CANE</t>
  </si>
  <si>
    <t>MEZCLA BULTO DE SAM + UREA + MICROSEM</t>
  </si>
  <si>
    <t xml:space="preserve">TRIONEX </t>
  </si>
  <si>
    <t xml:space="preserve">COADYUDANTE </t>
  </si>
  <si>
    <t>SAFARI 200 SL</t>
  </si>
  <si>
    <t>MEZCLA AMIDAS+SAM+SOP+NUCLEO DE HIERRO</t>
  </si>
  <si>
    <t>GRINOT 304 SL</t>
  </si>
  <si>
    <t>PRESENTACIÓN</t>
  </si>
  <si>
    <t>INSUMOS / NOMBRE COMERCIAL</t>
  </si>
  <si>
    <t>DENSIDADES (gr/ml)</t>
  </si>
  <si>
    <t xml:space="preserve">PRESENTACIÓN </t>
  </si>
  <si>
    <t>FOSFATO MONOAMONICO - MAP</t>
  </si>
  <si>
    <t>NUTRI - U</t>
  </si>
  <si>
    <t>NITROXTEND</t>
  </si>
  <si>
    <t>NITROXTEND XP 46%</t>
  </si>
  <si>
    <t>NOMBRE COMERCIAL</t>
  </si>
  <si>
    <t>NITRAX</t>
  </si>
  <si>
    <t>NITRAX -S</t>
  </si>
  <si>
    <t>ZINC</t>
  </si>
  <si>
    <t>BORO</t>
  </si>
  <si>
    <t>BOROZINCO</t>
  </si>
  <si>
    <t>BORAX</t>
  </si>
  <si>
    <t>SURTINITRO - S</t>
  </si>
  <si>
    <t>CAÑAFOL</t>
  </si>
  <si>
    <t>BIOESTIMULANTE</t>
  </si>
  <si>
    <t>K - POTASIO</t>
  </si>
  <si>
    <t>N - NITROGENO</t>
  </si>
  <si>
    <t>S - AZUFRE</t>
  </si>
  <si>
    <t>TREJO 2</t>
  </si>
  <si>
    <t>ÁCIDOS HÚMICOS Y FÚLVICOS - GENESIS</t>
  </si>
  <si>
    <t>MICROORGANISMOS</t>
  </si>
  <si>
    <t>EL TREJO 2</t>
  </si>
  <si>
    <t>SULFATO DE HIERRO HEPTAHIDRATADO</t>
  </si>
  <si>
    <t>kg/L</t>
  </si>
  <si>
    <t>ÁCIDO BÓRICO</t>
  </si>
  <si>
    <t>MULTIBIOL VACUNA</t>
  </si>
  <si>
    <t>NO ESTA EN EL LISTADO</t>
  </si>
  <si>
    <t>SESAMO WG</t>
  </si>
  <si>
    <t>KOMPLOT 75 WG</t>
  </si>
  <si>
    <t>INGREDIENTE ACTIVO (g/Kg)</t>
  </si>
  <si>
    <t>KG</t>
  </si>
  <si>
    <t>LEKTOR</t>
  </si>
  <si>
    <t>METRIBUZIN</t>
  </si>
  <si>
    <t>KOMFLIKT</t>
  </si>
  <si>
    <t>1,14 g/cc</t>
  </si>
  <si>
    <t>INDAZIFLAM</t>
  </si>
  <si>
    <t>BECANO SC</t>
  </si>
  <si>
    <t>SILICONEX</t>
  </si>
  <si>
    <t>1.01 gr/ml</t>
  </si>
  <si>
    <t>AQUAFULL</t>
  </si>
  <si>
    <t>0.70 g/ml</t>
  </si>
  <si>
    <t>PENCAL WG</t>
  </si>
  <si>
    <t>MICROSEM</t>
  </si>
  <si>
    <t xml:space="preserve"> 46 KG</t>
  </si>
  <si>
    <t>TROTON SL</t>
  </si>
  <si>
    <t>HEXARON</t>
  </si>
  <si>
    <t>AQUAFFER</t>
  </si>
  <si>
    <t>CAPSULAGRO</t>
  </si>
  <si>
    <t xml:space="preserve">46 KG </t>
  </si>
  <si>
    <t>25 KG</t>
  </si>
  <si>
    <t>Kwh</t>
  </si>
  <si>
    <t>MOTOR / CASA</t>
  </si>
  <si>
    <t>TOTAL</t>
  </si>
  <si>
    <t>FERTICH</t>
  </si>
  <si>
    <t>1,32</t>
  </si>
  <si>
    <t>SULFATO DE HIERRO</t>
  </si>
  <si>
    <t>SULFATO DE ZINC</t>
  </si>
  <si>
    <t>1 - 20 - 50 KG</t>
  </si>
  <si>
    <t>CALLISTO 480 SC</t>
  </si>
  <si>
    <t>SULFATO DE MANGANESIO</t>
  </si>
  <si>
    <t xml:space="preserve"> 25 KG</t>
  </si>
  <si>
    <t>CAMPOFOS G</t>
  </si>
  <si>
    <t>50 KG</t>
  </si>
  <si>
    <t>GESAPAX 500 SC</t>
  </si>
  <si>
    <t>AZUFRE ELEMENTAL</t>
  </si>
  <si>
    <t>DENSIDAD GR/ML</t>
  </si>
  <si>
    <t>AZUFRE AGRICOLA</t>
  </si>
  <si>
    <t>COBRE</t>
  </si>
  <si>
    <t>DOSIS X HA</t>
  </si>
  <si>
    <t>CANTIDAD</t>
  </si>
  <si>
    <t xml:space="preserve">P - FOSFORO
P2O5 </t>
  </si>
  <si>
    <t>NAXTROM</t>
  </si>
  <si>
    <t>NAXTROM + S</t>
  </si>
  <si>
    <t>2,4 D 
(ácido 2,4-diclorofenoxiacético)</t>
  </si>
  <si>
    <t>DIURON 800 SC</t>
  </si>
  <si>
    <t>DIUREX 80 WG</t>
  </si>
  <si>
    <t>PICLORAM 64 g/L</t>
  </si>
  <si>
    <t>PICLORAM + 2,4 D AMINA</t>
  </si>
  <si>
    <t>BUNKER 480 SC</t>
  </si>
  <si>
    <t>GLUCOSINATO DE AMONIO</t>
  </si>
  <si>
    <t>HEXAZINONA 75 WG</t>
  </si>
  <si>
    <t>AMETRINA 500 SC</t>
  </si>
  <si>
    <t>AMETRINA 80 WG</t>
  </si>
  <si>
    <t>1,15</t>
  </si>
  <si>
    <t>ATRAZINA 500 SC</t>
  </si>
  <si>
    <t>ATRAZINA 90 WG</t>
  </si>
  <si>
    <t>AMINA TRUST® 720 SL</t>
  </si>
  <si>
    <t>SC, SL, EC, OD → multiplicas litros por (g/L ÷ 1000)</t>
  </si>
  <si>
    <t>WP, WG, DF → multiplicas kg por (% ÷ 100)</t>
  </si>
  <si>
    <t>NUTRI - U - S</t>
  </si>
  <si>
    <t>SERVINITROS</t>
  </si>
  <si>
    <t>Mezcla (Nitrosmart,KCL,Menores)</t>
  </si>
  <si>
    <t>CIAT</t>
  </si>
  <si>
    <t>SERVINITROS + SO</t>
  </si>
  <si>
    <t xml:space="preserve">COTEN </t>
  </si>
  <si>
    <t>20 KG</t>
  </si>
  <si>
    <t>BOROZINCO 240 GR</t>
  </si>
  <si>
    <t xml:space="preserve">BOROZINCO FOLIAR </t>
  </si>
  <si>
    <t>CAL AGRICOLA</t>
  </si>
  <si>
    <t>CALCIO</t>
  </si>
  <si>
    <t>RAFOS</t>
  </si>
  <si>
    <t>ABOTEK</t>
  </si>
  <si>
    <t>FORMULACIÓN MENORES</t>
  </si>
  <si>
    <t>FASTEN</t>
  </si>
  <si>
    <t>Mezcla 35-5-6+Microfertil</t>
  </si>
  <si>
    <t>MEGAHATO</t>
  </si>
  <si>
    <t>RUDOWN 747 SG</t>
  </si>
  <si>
    <t>Mezcla grado 31-5-6-4S + Menores</t>
  </si>
  <si>
    <t>Productos</t>
  </si>
  <si>
    <t>Unidad</t>
  </si>
  <si>
    <t>PRODUCTOS</t>
  </si>
  <si>
    <t>BOROZINCO DE MICROFERTISA</t>
  </si>
  <si>
    <t>20.01.26 AL 21.01.26</t>
  </si>
  <si>
    <t>HACIENDA</t>
  </si>
  <si>
    <t>005</t>
  </si>
  <si>
    <t>UNIDAD/ha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</si>
</sst>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DBF02-B79F-4E83-AF20-A8BA8BC81173}" name="Tabla24" displayName="Tabla24" ref="P4:P51" totalsRowShown="0" headerRowDxfId="14" dataDxfId="13">
  <autoFilter ref="P4:P51" xr:uid="{055DBF02-B79F-4E83-AF20-A8BA8BC81173}"/>
  <tableColumns count="1">
    <tableColumn id="1" xr3:uid="{6F6E3ECF-BBD8-45E8-A0EE-69B3ACD3E8B3}" name="Producto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1C4998-BEF4-4BB4-89E9-0F04EFFBB040}" name="Tabla48" displayName="Tabla48" ref="Q4:Q7" totalsRowShown="0" headerRowDxfId="11" dataDxfId="10">
  <autoFilter ref="Q4:Q7" xr:uid="{F91C4998-BEF4-4BB4-89E9-0F04EFFBB040}"/>
  <tableColumns count="1">
    <tableColumn id="1" xr3:uid="{267AF4E5-7429-4D1A-98C3-C381EEA67F8A}" name="Unida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D47F7E-2F33-407A-B854-B12D2A9EF796}" name="Tabla511" displayName="Tabla511" ref="R4:R7" totalsRowShown="0" headerRowDxfId="8" dataDxfId="7">
  <autoFilter ref="R4:R7" xr:uid="{C0D47F7E-2F33-407A-B854-B12D2A9EF796}"/>
  <tableColumns count="1">
    <tableColumn id="1" xr3:uid="{CA80D219-03B5-41A1-9AD7-ED7ABCB19062}" name="Columna1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69CA89-EE41-4F18-BE6F-8A94CBAA48C2}" name="Tabla913" displayName="Tabla913" ref="O2:O6" totalsRowShown="0">
  <autoFilter ref="O2:O6" xr:uid="{6069CA89-EE41-4F18-BE6F-8A94CBAA48C2}"/>
  <tableColumns count="1">
    <tableColumn id="1" xr3:uid="{5A86C471-35AF-4DAA-B72B-882CA7D86A7F}" name="Colum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03CBD-4AE4-45B9-8B18-8C5D84E29E23}" name="Tabla482" displayName="Tabla482" ref="L2:L5" totalsRowShown="0" headerRowDxfId="5" dataDxfId="4">
  <autoFilter ref="L2:L5" xr:uid="{28E03CBD-4AE4-45B9-8B18-8C5D84E29E23}"/>
  <tableColumns count="1">
    <tableColumn id="1" xr3:uid="{6431DF98-F304-430C-8602-30F138F0D45E}" name="Unidad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C66C6F-82E3-4EA3-A1EA-B8B0063793EB}" name="Tabla5113" displayName="Tabla5113" ref="M2:M5" totalsRowShown="0" headerRowDxfId="2" dataDxfId="1">
  <autoFilter ref="M2:M5" xr:uid="{81C66C6F-82E3-4EA3-A1EA-B8B0063793EB}"/>
  <tableColumns count="1">
    <tableColumn id="1" xr3:uid="{10886F72-B812-4170-88EC-8317C9D65C33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zoomScale="50" zoomScaleNormal="50" workbookViewId="0">
      <selection activeCell="H23" sqref="H23"/>
    </sheetView>
  </sheetViews>
  <sheetFormatPr baseColWidth="10" defaultColWidth="10.85546875" defaultRowHeight="15" x14ac:dyDescent="0.25"/>
  <cols>
    <col min="1" max="1" width="14.7109375" style="8" customWidth="1"/>
    <col min="2" max="2" width="16.7109375" style="30" customWidth="1"/>
    <col min="3" max="3" width="21.28515625" style="8" customWidth="1"/>
    <col min="4" max="4" width="13.5703125" style="8" customWidth="1"/>
    <col min="5" max="5" width="40.85546875" style="8" customWidth="1"/>
    <col min="6" max="6" width="13.42578125" style="8" customWidth="1"/>
    <col min="7" max="7" width="12.42578125" style="8" customWidth="1"/>
    <col min="8" max="8" width="13.7109375" style="8" customWidth="1"/>
    <col min="9" max="9" width="10.7109375" style="8" customWidth="1"/>
    <col min="10" max="10" width="9.5703125" style="8" customWidth="1"/>
    <col min="11" max="11" width="8.5703125" style="8" customWidth="1"/>
    <col min="12" max="12" width="12.140625" style="8" customWidth="1"/>
    <col min="13" max="13" width="10.140625" style="8" customWidth="1"/>
    <col min="14" max="14" width="10.85546875" style="8"/>
    <col min="15" max="15" width="12" style="8" customWidth="1"/>
    <col min="16" max="16" width="46" style="8" customWidth="1"/>
    <col min="17" max="17" width="14.42578125" style="8" customWidth="1"/>
    <col min="18" max="18" width="12.85546875" style="8" customWidth="1"/>
    <col min="19" max="16384" width="10.85546875" style="8"/>
  </cols>
  <sheetData>
    <row r="1" spans="1:18" x14ac:dyDescent="0.25">
      <c r="C1" s="29"/>
    </row>
    <row r="2" spans="1:18" x14ac:dyDescent="0.25">
      <c r="F2" s="41" t="s">
        <v>60</v>
      </c>
      <c r="G2" s="42"/>
      <c r="H2" s="42"/>
      <c r="I2" s="43"/>
    </row>
    <row r="3" spans="1:18" s="33" customFormat="1" ht="25.5" x14ac:dyDescent="0.25">
      <c r="A3" s="31" t="s">
        <v>201</v>
      </c>
      <c r="B3" s="31" t="s">
        <v>56</v>
      </c>
      <c r="C3" s="32" t="s">
        <v>0</v>
      </c>
      <c r="D3" s="32" t="s">
        <v>1</v>
      </c>
      <c r="E3" s="32" t="s">
        <v>2</v>
      </c>
      <c r="F3" s="32" t="s">
        <v>61</v>
      </c>
      <c r="G3" s="32" t="s">
        <v>62</v>
      </c>
      <c r="H3" s="32" t="s">
        <v>63</v>
      </c>
      <c r="I3" s="32" t="s">
        <v>64</v>
      </c>
      <c r="J3" s="32" t="s">
        <v>156</v>
      </c>
      <c r="K3" s="32" t="s">
        <v>4</v>
      </c>
      <c r="L3" s="32" t="s">
        <v>157</v>
      </c>
      <c r="M3" s="32" t="s">
        <v>203</v>
      </c>
    </row>
    <row r="4" spans="1:18" ht="30" x14ac:dyDescent="0.25">
      <c r="A4" s="6"/>
      <c r="B4" s="34" t="s">
        <v>200</v>
      </c>
      <c r="C4" s="40" t="s">
        <v>202</v>
      </c>
      <c r="D4" s="6">
        <v>19.73</v>
      </c>
      <c r="E4" s="6" t="s">
        <v>68</v>
      </c>
      <c r="F4" s="6"/>
      <c r="G4" s="6"/>
      <c r="H4" s="6"/>
      <c r="I4" s="6"/>
      <c r="J4" s="6">
        <v>175</v>
      </c>
      <c r="K4" s="6" t="s">
        <v>15</v>
      </c>
      <c r="L4" s="6">
        <f>J4*D4</f>
        <v>3452.75</v>
      </c>
      <c r="M4" s="6" t="s">
        <v>18</v>
      </c>
      <c r="P4" s="8" t="s">
        <v>196</v>
      </c>
      <c r="Q4" s="8" t="s">
        <v>197</v>
      </c>
      <c r="R4" s="8" t="s">
        <v>12</v>
      </c>
    </row>
    <row r="5" spans="1:18" x14ac:dyDescent="0.25">
      <c r="A5" s="6"/>
      <c r="B5" s="35"/>
      <c r="C5" s="40" t="s">
        <v>202</v>
      </c>
      <c r="D5" s="6"/>
      <c r="E5" s="6" t="s">
        <v>70</v>
      </c>
      <c r="F5" s="6"/>
      <c r="G5" s="6"/>
      <c r="H5" s="6"/>
      <c r="I5" s="6"/>
      <c r="J5" s="6">
        <v>25</v>
      </c>
      <c r="K5" s="6" t="s">
        <v>15</v>
      </c>
      <c r="L5" s="6">
        <f>J5*D4</f>
        <v>493.25</v>
      </c>
      <c r="M5" s="6" t="s">
        <v>18</v>
      </c>
      <c r="P5" s="8" t="s">
        <v>68</v>
      </c>
      <c r="Q5" s="8" t="s">
        <v>14</v>
      </c>
      <c r="R5" s="8" t="s">
        <v>17</v>
      </c>
    </row>
    <row r="6" spans="1:18" x14ac:dyDescent="0.25">
      <c r="A6" s="6"/>
      <c r="B6" s="35"/>
      <c r="C6" s="40" t="s">
        <v>202</v>
      </c>
      <c r="D6" s="6"/>
      <c r="E6" s="6" t="s">
        <v>74</v>
      </c>
      <c r="F6" s="6"/>
      <c r="G6" s="6"/>
      <c r="H6" s="6"/>
      <c r="I6" s="6"/>
      <c r="J6" s="6">
        <v>100</v>
      </c>
      <c r="K6" s="6" t="s">
        <v>15</v>
      </c>
      <c r="L6" s="6">
        <f>J6*D4</f>
        <v>1973</v>
      </c>
      <c r="M6" s="6" t="s">
        <v>18</v>
      </c>
      <c r="P6" s="8" t="s">
        <v>13</v>
      </c>
      <c r="Q6" s="8" t="s">
        <v>15</v>
      </c>
      <c r="R6" s="8" t="s">
        <v>18</v>
      </c>
    </row>
    <row r="7" spans="1:18" x14ac:dyDescent="0.25">
      <c r="A7" s="6"/>
      <c r="B7" s="35"/>
      <c r="C7" s="40" t="s">
        <v>202</v>
      </c>
      <c r="D7" s="6"/>
      <c r="E7" s="6" t="s">
        <v>89</v>
      </c>
      <c r="F7" s="6"/>
      <c r="G7" s="6"/>
      <c r="H7" s="6"/>
      <c r="I7" s="6"/>
      <c r="J7" s="6">
        <v>80</v>
      </c>
      <c r="K7" s="6" t="s">
        <v>15</v>
      </c>
      <c r="L7" s="6">
        <f>J7*D4</f>
        <v>1578.4</v>
      </c>
      <c r="M7" s="6" t="s">
        <v>18</v>
      </c>
      <c r="P7" s="8" t="s">
        <v>74</v>
      </c>
      <c r="Q7" s="8" t="s">
        <v>16</v>
      </c>
      <c r="R7" s="8" t="s">
        <v>19</v>
      </c>
    </row>
    <row r="8" spans="1:18" x14ac:dyDescent="0.25">
      <c r="A8" s="6"/>
      <c r="B8" s="35"/>
      <c r="C8" s="40" t="s">
        <v>202</v>
      </c>
      <c r="D8" s="6"/>
      <c r="E8" s="6" t="s">
        <v>199</v>
      </c>
      <c r="F8" s="6"/>
      <c r="G8" s="6"/>
      <c r="H8" s="6"/>
      <c r="I8" s="6"/>
      <c r="J8" s="6">
        <v>20</v>
      </c>
      <c r="K8" s="6" t="s">
        <v>15</v>
      </c>
      <c r="L8" s="6">
        <f>J8*D4</f>
        <v>394.6</v>
      </c>
      <c r="M8" s="6" t="s">
        <v>18</v>
      </c>
      <c r="P8" s="8" t="s">
        <v>90</v>
      </c>
    </row>
    <row r="9" spans="1:18" x14ac:dyDescent="0.25">
      <c r="A9" s="6"/>
      <c r="B9" s="3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P9" s="8" t="s">
        <v>177</v>
      </c>
    </row>
    <row r="10" spans="1:18" x14ac:dyDescent="0.25">
      <c r="A10" s="6"/>
      <c r="B10" s="3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P10" s="8" t="s">
        <v>89</v>
      </c>
    </row>
    <row r="11" spans="1:18" x14ac:dyDescent="0.25">
      <c r="A11" s="6"/>
      <c r="B11" s="3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P11" s="8" t="s">
        <v>10</v>
      </c>
    </row>
    <row r="12" spans="1:18" x14ac:dyDescent="0.25">
      <c r="A12" s="6"/>
      <c r="B12" s="3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P12" s="8" t="s">
        <v>11</v>
      </c>
    </row>
    <row r="13" spans="1:18" x14ac:dyDescent="0.25">
      <c r="A13" s="6"/>
      <c r="B13" s="3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P13" s="8" t="s">
        <v>160</v>
      </c>
    </row>
    <row r="14" spans="1:18" x14ac:dyDescent="0.25">
      <c r="A14" s="6"/>
      <c r="B14" s="3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P14" s="8" t="s">
        <v>159</v>
      </c>
    </row>
    <row r="15" spans="1:18" x14ac:dyDescent="0.25">
      <c r="A15" s="6"/>
      <c r="B15" s="3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8" t="s">
        <v>94</v>
      </c>
    </row>
    <row r="16" spans="1:18" x14ac:dyDescent="0.25">
      <c r="A16" s="6"/>
      <c r="B16" s="3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P16" s="8" t="s">
        <v>95</v>
      </c>
    </row>
    <row r="17" spans="1:16" x14ac:dyDescent="0.25">
      <c r="A17" s="6"/>
      <c r="B17" s="3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P17" s="8" t="s">
        <v>8</v>
      </c>
    </row>
    <row r="18" spans="1:16" x14ac:dyDescent="0.25">
      <c r="A18" s="6"/>
      <c r="B18" s="3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P18" s="8" t="s">
        <v>187</v>
      </c>
    </row>
    <row r="19" spans="1:16" x14ac:dyDescent="0.25">
      <c r="A19" s="6"/>
      <c r="B19" s="3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P19" s="8" t="s">
        <v>186</v>
      </c>
    </row>
    <row r="20" spans="1:16" x14ac:dyDescent="0.25">
      <c r="A20" s="6"/>
      <c r="B20" s="3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P20" s="8" t="s">
        <v>91</v>
      </c>
    </row>
    <row r="21" spans="1:16" x14ac:dyDescent="0.25">
      <c r="A21" s="6"/>
      <c r="B21" s="3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P21" s="8" t="s">
        <v>69</v>
      </c>
    </row>
    <row r="22" spans="1:16" x14ac:dyDescent="0.25">
      <c r="A22" s="6"/>
      <c r="B22" s="3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P22" s="8" t="s">
        <v>92</v>
      </c>
    </row>
    <row r="23" spans="1:16" x14ac:dyDescent="0.25">
      <c r="A23" s="6"/>
      <c r="B23" s="3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P23" s="8" t="s">
        <v>9</v>
      </c>
    </row>
    <row r="24" spans="1:16" x14ac:dyDescent="0.25">
      <c r="A24" s="6"/>
      <c r="B24" s="3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P24" s="8" t="s">
        <v>143</v>
      </c>
    </row>
    <row r="25" spans="1:16" x14ac:dyDescent="0.25">
      <c r="A25" s="6"/>
      <c r="B25" s="3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P25" s="8" t="s">
        <v>144</v>
      </c>
    </row>
    <row r="26" spans="1:16" x14ac:dyDescent="0.25">
      <c r="A26" s="6"/>
      <c r="B26" s="3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P26" s="8" t="s">
        <v>147</v>
      </c>
    </row>
    <row r="27" spans="1:16" x14ac:dyDescent="0.25">
      <c r="A27" s="6"/>
      <c r="B27" s="3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36"/>
      <c r="P27" s="8" t="s">
        <v>110</v>
      </c>
    </row>
    <row r="28" spans="1:16" x14ac:dyDescent="0.25">
      <c r="A28" s="6"/>
      <c r="B28" s="3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36"/>
      <c r="P28" s="8" t="s">
        <v>71</v>
      </c>
    </row>
    <row r="29" spans="1:16" x14ac:dyDescent="0.25">
      <c r="A29" s="6"/>
      <c r="B29" s="3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36"/>
      <c r="P29" s="8" t="s">
        <v>100</v>
      </c>
    </row>
    <row r="30" spans="1:16" ht="15.6" customHeight="1" x14ac:dyDescent="0.25">
      <c r="A30" s="6"/>
      <c r="B30" s="3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36"/>
      <c r="P30" s="8" t="s">
        <v>7</v>
      </c>
    </row>
    <row r="31" spans="1:16" ht="15.6" customHeight="1" x14ac:dyDescent="0.25">
      <c r="A31" s="6"/>
      <c r="B31" s="3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36"/>
      <c r="P31" s="8" t="s">
        <v>149</v>
      </c>
    </row>
    <row r="32" spans="1:16" ht="15.6" customHeight="1" x14ac:dyDescent="0.25">
      <c r="A32" s="6"/>
      <c r="B32" s="3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36"/>
      <c r="P32" s="8" t="s">
        <v>44</v>
      </c>
    </row>
    <row r="33" spans="1:16" ht="15.6" customHeight="1" x14ac:dyDescent="0.25">
      <c r="A33" s="6"/>
      <c r="B33" s="3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6"/>
      <c r="P33" s="8" t="s">
        <v>112</v>
      </c>
    </row>
    <row r="34" spans="1:16" ht="15.6" customHeight="1" x14ac:dyDescent="0.25">
      <c r="A34" s="6"/>
      <c r="B34" s="3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6"/>
      <c r="P34" s="8" t="s">
        <v>45</v>
      </c>
    </row>
    <row r="35" spans="1:16" x14ac:dyDescent="0.25">
      <c r="A35" s="6"/>
      <c r="B35" s="3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6"/>
      <c r="P35" s="8" t="s">
        <v>46</v>
      </c>
    </row>
    <row r="36" spans="1:16" x14ac:dyDescent="0.25">
      <c r="A36" s="6"/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6"/>
      <c r="P36" s="8" t="s">
        <v>141</v>
      </c>
    </row>
    <row r="37" spans="1:16" x14ac:dyDescent="0.25">
      <c r="A37" s="6"/>
      <c r="B37" s="3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36"/>
      <c r="P37" s="8" t="s">
        <v>70</v>
      </c>
    </row>
    <row r="38" spans="1:16" x14ac:dyDescent="0.25">
      <c r="A38" s="6"/>
      <c r="B38" s="3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6"/>
      <c r="P38" s="8" t="s">
        <v>130</v>
      </c>
    </row>
    <row r="39" spans="1:16" x14ac:dyDescent="0.25">
      <c r="A39" s="6"/>
      <c r="B39" s="3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6"/>
      <c r="P39" s="8" t="s">
        <v>97</v>
      </c>
    </row>
    <row r="40" spans="1:16" x14ac:dyDescent="0.25">
      <c r="A40" s="6"/>
      <c r="B40" s="3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P40" s="8" t="s">
        <v>99</v>
      </c>
    </row>
    <row r="41" spans="1:16" x14ac:dyDescent="0.25">
      <c r="A41" s="6"/>
      <c r="B41" s="3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P41" s="8" t="s">
        <v>184</v>
      </c>
    </row>
    <row r="42" spans="1:16" x14ac:dyDescent="0.25">
      <c r="A42" s="6"/>
      <c r="B42" s="3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P42" s="8" t="s">
        <v>185</v>
      </c>
    </row>
    <row r="43" spans="1:16" x14ac:dyDescent="0.25">
      <c r="A43" s="6"/>
      <c r="B43" s="3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P43" s="8" t="s">
        <v>154</v>
      </c>
    </row>
    <row r="44" spans="1:16" x14ac:dyDescent="0.25">
      <c r="A44" s="6"/>
      <c r="B44" s="3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P44" s="8" t="s">
        <v>155</v>
      </c>
    </row>
    <row r="45" spans="1:16" x14ac:dyDescent="0.25">
      <c r="A45" s="6"/>
      <c r="B45" s="3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P45" s="8" t="s">
        <v>178</v>
      </c>
    </row>
    <row r="46" spans="1:16" x14ac:dyDescent="0.25">
      <c r="P46" s="8" t="s">
        <v>181</v>
      </c>
    </row>
    <row r="47" spans="1:16" x14ac:dyDescent="0.25">
      <c r="P47" s="8" t="s">
        <v>182</v>
      </c>
    </row>
    <row r="48" spans="1:16" x14ac:dyDescent="0.25">
      <c r="P48" s="8" t="s">
        <v>188</v>
      </c>
    </row>
    <row r="49" spans="16:16" x14ac:dyDescent="0.25">
      <c r="P49" s="8" t="s">
        <v>189</v>
      </c>
    </row>
    <row r="50" spans="16:16" x14ac:dyDescent="0.25">
      <c r="P50" s="8" t="s">
        <v>190</v>
      </c>
    </row>
    <row r="51" spans="16:16" x14ac:dyDescent="0.25">
      <c r="P51" s="37" t="s">
        <v>199</v>
      </c>
    </row>
  </sheetData>
  <mergeCells count="1">
    <mergeCell ref="F2:I2"/>
  </mergeCells>
  <dataValidations count="3">
    <dataValidation type="list" allowBlank="1" showInputMessage="1" showErrorMessage="1" sqref="E4:E45" xr:uid="{E78132D4-B88C-468A-896C-A8859554D619}">
      <formula1>$P$5:$P$53</formula1>
    </dataValidation>
    <dataValidation type="list" allowBlank="1" showInputMessage="1" showErrorMessage="1" sqref="K4:K45" xr:uid="{2CA2D22D-638E-46D3-A60D-E43B3C19CF32}">
      <formula1>$Q$5:$Q$7</formula1>
    </dataValidation>
    <dataValidation type="list" allowBlank="1" showInputMessage="1" showErrorMessage="1" sqref="M4:M45" xr:uid="{6169D6B3-F85F-4900-A939-EC54402F559A}">
      <formula1>$R$5:$R$7</formula1>
    </dataValidation>
  </dataValidations>
  <pageMargins left="0.7" right="0.7" top="0.75" bottom="0.75" header="0.3" footer="0.3"/>
  <pageSetup paperSize="9" orientation="landscape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B786-EA2B-435A-B630-06F8BB5722FA}">
  <dimension ref="A1:V62"/>
  <sheetViews>
    <sheetView zoomScale="63" zoomScaleNormal="77" workbookViewId="0">
      <selection activeCell="C26" sqref="C26"/>
    </sheetView>
  </sheetViews>
  <sheetFormatPr baseColWidth="10" defaultColWidth="10.85546875" defaultRowHeight="15" x14ac:dyDescent="0.25"/>
  <cols>
    <col min="1" max="1" width="20.28515625" style="20" customWidth="1"/>
    <col min="2" max="2" width="17.5703125" style="20" customWidth="1"/>
    <col min="3" max="3" width="48.28515625" style="20" customWidth="1"/>
    <col min="4" max="9" width="20" style="20" customWidth="1"/>
    <col min="10" max="10" width="42.85546875" style="20" customWidth="1"/>
    <col min="11" max="16" width="20" style="20" customWidth="1"/>
    <col min="17" max="17" width="22.85546875" style="20" customWidth="1"/>
    <col min="18" max="18" width="39.42578125" style="20" customWidth="1"/>
    <col min="19" max="20" width="27.5703125" style="20" customWidth="1"/>
    <col min="21" max="21" width="17.7109375" style="20" customWidth="1"/>
    <col min="22" max="22" width="13.85546875" style="20" customWidth="1"/>
    <col min="23" max="16384" width="10.85546875" style="20"/>
  </cols>
  <sheetData>
    <row r="1" spans="1:22" ht="15.75" x14ac:dyDescent="0.25">
      <c r="C1" s="22" t="s">
        <v>66</v>
      </c>
      <c r="D1" s="44" t="s">
        <v>65</v>
      </c>
      <c r="E1" s="44"/>
      <c r="F1" s="44"/>
      <c r="G1" s="44"/>
      <c r="H1" s="44"/>
    </row>
    <row r="2" spans="1:22" s="23" customFormat="1" ht="31.5" x14ac:dyDescent="0.25">
      <c r="A2" s="16" t="s">
        <v>88</v>
      </c>
      <c r="B2" s="16" t="s">
        <v>153</v>
      </c>
      <c r="C2" s="22" t="s">
        <v>93</v>
      </c>
      <c r="D2" s="22" t="s">
        <v>104</v>
      </c>
      <c r="E2" s="22" t="s">
        <v>158</v>
      </c>
      <c r="F2" s="22" t="s">
        <v>103</v>
      </c>
      <c r="G2" s="22" t="s">
        <v>105</v>
      </c>
      <c r="H2" s="22" t="s">
        <v>72</v>
      </c>
      <c r="J2" s="16" t="s">
        <v>72</v>
      </c>
      <c r="L2" s="16" t="s">
        <v>81</v>
      </c>
      <c r="O2" s="16" t="s">
        <v>102</v>
      </c>
      <c r="R2" s="16" t="s">
        <v>108</v>
      </c>
      <c r="U2" s="16" t="s">
        <v>65</v>
      </c>
      <c r="V2" s="16" t="s">
        <v>65</v>
      </c>
    </row>
    <row r="3" spans="1:22" ht="30" x14ac:dyDescent="0.25">
      <c r="A3" s="14" t="s">
        <v>118</v>
      </c>
      <c r="B3" s="14"/>
      <c r="C3" s="14" t="s">
        <v>68</v>
      </c>
      <c r="D3" s="14">
        <v>46</v>
      </c>
      <c r="E3" s="14">
        <v>0</v>
      </c>
      <c r="F3" s="14">
        <v>0</v>
      </c>
      <c r="G3" s="14">
        <v>0</v>
      </c>
      <c r="H3" s="14">
        <v>0</v>
      </c>
      <c r="J3" s="14" t="s">
        <v>73</v>
      </c>
      <c r="L3" s="14" t="s">
        <v>80</v>
      </c>
      <c r="M3" s="20" t="s">
        <v>122</v>
      </c>
      <c r="N3" s="24"/>
      <c r="O3" s="14" t="s">
        <v>101</v>
      </c>
      <c r="P3" s="20" t="s">
        <v>106</v>
      </c>
      <c r="R3" s="14" t="s">
        <v>107</v>
      </c>
      <c r="S3" s="20" t="s">
        <v>109</v>
      </c>
      <c r="U3" s="14" t="s">
        <v>14</v>
      </c>
      <c r="V3" s="14" t="s">
        <v>17</v>
      </c>
    </row>
    <row r="4" spans="1:22" ht="30" x14ac:dyDescent="0.25">
      <c r="A4" s="14" t="s">
        <v>118</v>
      </c>
      <c r="B4" s="14"/>
      <c r="C4" s="14" t="s">
        <v>13</v>
      </c>
      <c r="D4" s="14">
        <v>40</v>
      </c>
      <c r="E4" s="14">
        <v>0</v>
      </c>
      <c r="F4" s="14">
        <v>0</v>
      </c>
      <c r="G4" s="14">
        <v>6</v>
      </c>
      <c r="H4" s="14">
        <v>0</v>
      </c>
      <c r="J4" s="14" t="s">
        <v>96</v>
      </c>
      <c r="L4" s="14" t="s">
        <v>31</v>
      </c>
      <c r="Q4" s="20" t="s">
        <v>114</v>
      </c>
      <c r="R4" s="28" t="s">
        <v>113</v>
      </c>
      <c r="S4" s="20" t="s">
        <v>109</v>
      </c>
      <c r="U4" s="14" t="s">
        <v>15</v>
      </c>
      <c r="V4" s="14" t="s">
        <v>18</v>
      </c>
    </row>
    <row r="5" spans="1:22" x14ac:dyDescent="0.25">
      <c r="A5" s="14" t="s">
        <v>118</v>
      </c>
      <c r="B5" s="14"/>
      <c r="C5" s="14" t="s">
        <v>74</v>
      </c>
      <c r="D5" s="14">
        <v>0</v>
      </c>
      <c r="E5" s="14">
        <v>0</v>
      </c>
      <c r="F5" s="14">
        <v>60</v>
      </c>
      <c r="G5" s="14">
        <v>0</v>
      </c>
      <c r="H5" s="14">
        <v>0</v>
      </c>
      <c r="J5" s="14" t="s">
        <v>97</v>
      </c>
      <c r="L5" s="14" t="s">
        <v>125</v>
      </c>
      <c r="M5" s="20" t="s">
        <v>126</v>
      </c>
      <c r="U5" s="14" t="s">
        <v>16</v>
      </c>
      <c r="V5" s="14" t="s">
        <v>19</v>
      </c>
    </row>
    <row r="6" spans="1:22" x14ac:dyDescent="0.25">
      <c r="A6" s="14" t="s">
        <v>118</v>
      </c>
      <c r="B6" s="14"/>
      <c r="C6" s="14" t="s">
        <v>90</v>
      </c>
      <c r="D6" s="14">
        <v>46</v>
      </c>
      <c r="E6" s="14">
        <v>0</v>
      </c>
      <c r="F6" s="14">
        <v>0</v>
      </c>
      <c r="G6" s="14">
        <v>0</v>
      </c>
      <c r="H6" s="14">
        <v>0</v>
      </c>
      <c r="J6" s="14" t="s">
        <v>98</v>
      </c>
      <c r="L6" s="14" t="s">
        <v>127</v>
      </c>
      <c r="M6" s="20" t="s">
        <v>128</v>
      </c>
    </row>
    <row r="7" spans="1:22" x14ac:dyDescent="0.25">
      <c r="A7" s="14" t="s">
        <v>118</v>
      </c>
      <c r="B7" s="14"/>
      <c r="C7" s="14" t="s">
        <v>177</v>
      </c>
      <c r="D7" s="14">
        <v>46</v>
      </c>
      <c r="E7" s="14">
        <v>0</v>
      </c>
      <c r="F7" s="14">
        <v>0</v>
      </c>
      <c r="G7" s="14">
        <v>6</v>
      </c>
      <c r="H7" s="14">
        <v>0</v>
      </c>
      <c r="J7" s="14" t="s">
        <v>99</v>
      </c>
      <c r="L7" s="14"/>
    </row>
    <row r="8" spans="1:22" x14ac:dyDescent="0.25">
      <c r="A8" s="14" t="s">
        <v>118</v>
      </c>
      <c r="B8" s="14"/>
      <c r="C8" s="14" t="s">
        <v>89</v>
      </c>
      <c r="D8" s="14">
        <v>11</v>
      </c>
      <c r="E8" s="14">
        <v>52</v>
      </c>
      <c r="F8" s="14">
        <v>0</v>
      </c>
      <c r="G8" s="14">
        <v>0</v>
      </c>
      <c r="H8" s="14">
        <v>0</v>
      </c>
      <c r="J8" s="14" t="s">
        <v>11</v>
      </c>
      <c r="L8" s="14" t="s">
        <v>134</v>
      </c>
    </row>
    <row r="9" spans="1:22" ht="30" x14ac:dyDescent="0.25">
      <c r="A9" s="14" t="s">
        <v>118</v>
      </c>
      <c r="B9" s="14"/>
      <c r="C9" s="14" t="s">
        <v>10</v>
      </c>
      <c r="D9" s="14">
        <v>12</v>
      </c>
      <c r="E9" s="14">
        <v>40</v>
      </c>
      <c r="F9" s="14">
        <v>0</v>
      </c>
      <c r="G9" s="14">
        <v>10</v>
      </c>
      <c r="H9" s="14">
        <v>0</v>
      </c>
      <c r="J9" s="14" t="s">
        <v>110</v>
      </c>
      <c r="K9" s="20" t="s">
        <v>106</v>
      </c>
      <c r="L9" s="14" t="s">
        <v>135</v>
      </c>
    </row>
    <row r="10" spans="1:22" ht="30" x14ac:dyDescent="0.25">
      <c r="A10" s="14" t="s">
        <v>136</v>
      </c>
      <c r="B10" s="14"/>
      <c r="C10" s="14" t="s">
        <v>11</v>
      </c>
      <c r="D10" s="14">
        <v>0</v>
      </c>
      <c r="E10" s="14">
        <v>0</v>
      </c>
      <c r="F10" s="14">
        <v>0</v>
      </c>
      <c r="G10" s="14">
        <v>12</v>
      </c>
      <c r="H10" s="14">
        <v>40</v>
      </c>
      <c r="J10" s="14" t="s">
        <v>112</v>
      </c>
      <c r="K10" s="20" t="s">
        <v>106</v>
      </c>
      <c r="L10" s="14" t="s">
        <v>44</v>
      </c>
    </row>
    <row r="11" spans="1:22" x14ac:dyDescent="0.25">
      <c r="A11" s="14" t="s">
        <v>118</v>
      </c>
      <c r="B11" s="14"/>
      <c r="C11" s="14" t="s">
        <v>160</v>
      </c>
      <c r="D11" s="14">
        <v>40</v>
      </c>
      <c r="E11" s="14">
        <v>0</v>
      </c>
      <c r="F11" s="14">
        <v>0</v>
      </c>
      <c r="G11" s="14">
        <v>6</v>
      </c>
      <c r="H11" s="14"/>
      <c r="J11" s="14" t="s">
        <v>130</v>
      </c>
      <c r="L11" s="14" t="s">
        <v>191</v>
      </c>
    </row>
    <row r="12" spans="1:22" x14ac:dyDescent="0.25">
      <c r="A12" s="14" t="s">
        <v>118</v>
      </c>
      <c r="B12" s="14"/>
      <c r="C12" s="14" t="s">
        <v>159</v>
      </c>
      <c r="D12" s="14">
        <v>46</v>
      </c>
      <c r="E12" s="14">
        <v>0</v>
      </c>
      <c r="F12" s="14">
        <v>0</v>
      </c>
      <c r="G12" s="14">
        <v>0</v>
      </c>
      <c r="H12" s="14">
        <v>0</v>
      </c>
      <c r="J12" s="14" t="s">
        <v>8</v>
      </c>
    </row>
    <row r="13" spans="1:22" x14ac:dyDescent="0.25">
      <c r="A13" s="14" t="s">
        <v>118</v>
      </c>
      <c r="B13" s="14"/>
      <c r="C13" s="14" t="s">
        <v>94</v>
      </c>
      <c r="D13" s="14">
        <v>28</v>
      </c>
      <c r="E13" s="14">
        <v>4</v>
      </c>
      <c r="F13" s="14">
        <v>0</v>
      </c>
      <c r="G13" s="14">
        <v>6</v>
      </c>
      <c r="H13" s="14">
        <v>0</v>
      </c>
      <c r="J13" s="14" t="s">
        <v>11</v>
      </c>
    </row>
    <row r="14" spans="1:22" x14ac:dyDescent="0.25">
      <c r="A14" s="14" t="s">
        <v>118</v>
      </c>
      <c r="B14" s="14"/>
      <c r="C14" s="14" t="s">
        <v>95</v>
      </c>
      <c r="D14" s="14">
        <v>28</v>
      </c>
      <c r="E14" s="14">
        <v>4</v>
      </c>
      <c r="F14" s="14">
        <v>0</v>
      </c>
      <c r="G14" s="14">
        <v>6</v>
      </c>
      <c r="H14" s="14">
        <v>0</v>
      </c>
      <c r="J14" s="14" t="s">
        <v>141</v>
      </c>
    </row>
    <row r="15" spans="1:22" x14ac:dyDescent="0.25">
      <c r="A15" s="14" t="s">
        <v>137</v>
      </c>
      <c r="B15" s="14"/>
      <c r="C15" s="14" t="s">
        <v>8</v>
      </c>
      <c r="D15" s="14">
        <v>15.5</v>
      </c>
      <c r="E15" s="14">
        <v>0</v>
      </c>
      <c r="F15" s="14">
        <v>0</v>
      </c>
      <c r="G15" s="14">
        <v>0</v>
      </c>
      <c r="H15" s="14">
        <v>26.6</v>
      </c>
      <c r="J15" s="14" t="s">
        <v>152</v>
      </c>
    </row>
    <row r="16" spans="1:22" x14ac:dyDescent="0.25">
      <c r="A16" s="14" t="s">
        <v>137</v>
      </c>
      <c r="B16" s="14"/>
      <c r="C16" s="14" t="s">
        <v>187</v>
      </c>
      <c r="D16" s="14">
        <v>15.5</v>
      </c>
      <c r="E16" s="14">
        <v>0</v>
      </c>
      <c r="F16" s="14">
        <v>0</v>
      </c>
      <c r="G16" s="14">
        <v>0</v>
      </c>
      <c r="H16" s="14">
        <v>26.6</v>
      </c>
      <c r="J16" s="14" t="s">
        <v>155</v>
      </c>
    </row>
    <row r="17" spans="1:10" x14ac:dyDescent="0.25">
      <c r="A17" s="14" t="s">
        <v>150</v>
      </c>
      <c r="B17" s="14"/>
      <c r="C17" s="14" t="s">
        <v>186</v>
      </c>
      <c r="D17" s="14">
        <v>0</v>
      </c>
      <c r="E17" s="14">
        <v>0</v>
      </c>
      <c r="F17" s="14">
        <v>0</v>
      </c>
      <c r="G17" s="14">
        <v>0</v>
      </c>
      <c r="H17" s="14">
        <v>90</v>
      </c>
      <c r="J17" s="14"/>
    </row>
    <row r="18" spans="1:10" x14ac:dyDescent="0.25">
      <c r="A18" s="14" t="s">
        <v>118</v>
      </c>
      <c r="B18" s="14"/>
      <c r="C18" s="14" t="s">
        <v>91</v>
      </c>
      <c r="D18" s="14">
        <v>46</v>
      </c>
      <c r="E18" s="14">
        <v>0</v>
      </c>
      <c r="F18" s="14">
        <v>0</v>
      </c>
      <c r="G18" s="14">
        <v>0</v>
      </c>
      <c r="H18" s="14">
        <v>0</v>
      </c>
      <c r="J18" s="14"/>
    </row>
    <row r="19" spans="1:10" x14ac:dyDescent="0.25">
      <c r="A19" s="14" t="s">
        <v>118</v>
      </c>
      <c r="B19" s="14"/>
      <c r="C19" s="14" t="s">
        <v>69</v>
      </c>
      <c r="D19" s="14">
        <v>40</v>
      </c>
      <c r="E19" s="14">
        <v>0</v>
      </c>
      <c r="F19" s="14">
        <v>0</v>
      </c>
      <c r="G19" s="14">
        <v>6</v>
      </c>
      <c r="H19" s="14">
        <v>0</v>
      </c>
    </row>
    <row r="20" spans="1:10" x14ac:dyDescent="0.25">
      <c r="A20" s="14" t="s">
        <v>118</v>
      </c>
      <c r="B20" s="14"/>
      <c r="C20" s="14" t="s">
        <v>92</v>
      </c>
      <c r="D20" s="14">
        <v>46</v>
      </c>
      <c r="E20" s="14">
        <v>0</v>
      </c>
      <c r="F20" s="14">
        <v>0</v>
      </c>
      <c r="G20" s="14">
        <v>0</v>
      </c>
      <c r="H20" s="14">
        <v>0</v>
      </c>
    </row>
    <row r="21" spans="1:10" x14ac:dyDescent="0.25">
      <c r="A21" s="14" t="s">
        <v>14</v>
      </c>
      <c r="B21" s="14" t="s">
        <v>142</v>
      </c>
      <c r="C21" s="14" t="s">
        <v>9</v>
      </c>
      <c r="D21" s="14">
        <v>30</v>
      </c>
      <c r="E21" s="14">
        <v>0</v>
      </c>
      <c r="F21" s="14">
        <v>0</v>
      </c>
      <c r="G21" s="14">
        <v>0</v>
      </c>
      <c r="H21" s="14">
        <v>0</v>
      </c>
    </row>
    <row r="22" spans="1:10" x14ac:dyDescent="0.25">
      <c r="A22" s="14" t="s">
        <v>118</v>
      </c>
      <c r="B22" s="14"/>
      <c r="C22" s="14" t="s">
        <v>143</v>
      </c>
      <c r="D22" s="14">
        <v>0</v>
      </c>
      <c r="E22" s="14">
        <v>0</v>
      </c>
      <c r="F22" s="14">
        <v>0</v>
      </c>
      <c r="G22" s="14">
        <v>0</v>
      </c>
      <c r="H22" s="14">
        <v>20</v>
      </c>
    </row>
    <row r="23" spans="1:10" x14ac:dyDescent="0.25">
      <c r="A23" s="14" t="s">
        <v>145</v>
      </c>
      <c r="B23" s="14"/>
      <c r="C23" s="14" t="s">
        <v>144</v>
      </c>
      <c r="D23" s="14">
        <v>0</v>
      </c>
      <c r="E23" s="14">
        <v>0</v>
      </c>
      <c r="F23" s="14">
        <v>0</v>
      </c>
      <c r="G23" s="14">
        <v>14</v>
      </c>
      <c r="H23" s="14">
        <v>28</v>
      </c>
    </row>
    <row r="24" spans="1:10" x14ac:dyDescent="0.25">
      <c r="A24" s="14" t="s">
        <v>118</v>
      </c>
      <c r="B24" s="14"/>
      <c r="C24" s="14" t="s">
        <v>147</v>
      </c>
      <c r="D24" s="14">
        <v>0</v>
      </c>
      <c r="E24" s="14">
        <v>0</v>
      </c>
      <c r="F24" s="14">
        <v>0</v>
      </c>
      <c r="G24" s="14">
        <v>0</v>
      </c>
      <c r="H24" s="14">
        <v>32</v>
      </c>
    </row>
    <row r="25" spans="1:10" x14ac:dyDescent="0.25">
      <c r="A25" s="14" t="s">
        <v>111</v>
      </c>
      <c r="B25" s="14">
        <v>1.8</v>
      </c>
      <c r="C25" s="14" t="s">
        <v>110</v>
      </c>
      <c r="D25" s="14">
        <v>0</v>
      </c>
      <c r="E25" s="14">
        <v>0</v>
      </c>
      <c r="F25" s="14">
        <v>0</v>
      </c>
      <c r="G25" s="14">
        <v>12</v>
      </c>
      <c r="H25" s="14">
        <v>20</v>
      </c>
    </row>
    <row r="26" spans="1:10" x14ac:dyDescent="0.25">
      <c r="A26" s="14" t="s">
        <v>118</v>
      </c>
      <c r="B26" s="14"/>
      <c r="C26" s="14" t="s">
        <v>71</v>
      </c>
      <c r="D26" s="14">
        <v>0</v>
      </c>
      <c r="E26" s="14">
        <v>0</v>
      </c>
      <c r="F26" s="14">
        <v>51.5</v>
      </c>
      <c r="G26" s="14">
        <v>17.5</v>
      </c>
      <c r="H26" s="14">
        <v>0</v>
      </c>
    </row>
    <row r="27" spans="1:10" x14ac:dyDescent="0.25">
      <c r="A27" s="14" t="s">
        <v>118</v>
      </c>
      <c r="B27" s="14"/>
      <c r="C27" s="14" t="s">
        <v>100</v>
      </c>
      <c r="D27" s="14">
        <v>40</v>
      </c>
      <c r="E27" s="14">
        <v>0</v>
      </c>
      <c r="F27" s="14">
        <v>0</v>
      </c>
      <c r="G27" s="14">
        <v>5</v>
      </c>
      <c r="H27" s="14">
        <v>0</v>
      </c>
    </row>
    <row r="28" spans="1:10" x14ac:dyDescent="0.25">
      <c r="A28" s="14" t="s">
        <v>118</v>
      </c>
      <c r="B28" s="14"/>
      <c r="C28" s="14" t="s">
        <v>7</v>
      </c>
      <c r="D28" s="14">
        <v>46</v>
      </c>
      <c r="E28" s="14">
        <v>0</v>
      </c>
      <c r="F28" s="14">
        <v>0</v>
      </c>
      <c r="G28" s="14">
        <v>0</v>
      </c>
      <c r="H28" s="14">
        <v>0</v>
      </c>
    </row>
    <row r="29" spans="1:10" x14ac:dyDescent="0.25">
      <c r="A29" s="14" t="s">
        <v>150</v>
      </c>
      <c r="B29" s="14"/>
      <c r="C29" s="14" t="s">
        <v>149</v>
      </c>
      <c r="D29" s="14">
        <v>0</v>
      </c>
      <c r="E29" s="14">
        <v>21</v>
      </c>
      <c r="F29" s="14">
        <v>0</v>
      </c>
      <c r="G29" s="14">
        <v>0</v>
      </c>
      <c r="H29" s="14">
        <v>32</v>
      </c>
    </row>
    <row r="30" spans="1:10" x14ac:dyDescent="0.25">
      <c r="A30" s="14" t="s">
        <v>14</v>
      </c>
      <c r="B30" s="14">
        <v>1.68</v>
      </c>
      <c r="C30" s="14" t="s">
        <v>44</v>
      </c>
      <c r="D30" s="14">
        <v>0</v>
      </c>
      <c r="E30" s="14">
        <v>62</v>
      </c>
      <c r="F30" s="14">
        <v>0</v>
      </c>
      <c r="G30" s="14">
        <v>0</v>
      </c>
      <c r="H30" s="14">
        <v>0</v>
      </c>
    </row>
    <row r="31" spans="1:10" x14ac:dyDescent="0.25">
      <c r="A31" s="14" t="s">
        <v>111</v>
      </c>
      <c r="B31" s="14">
        <v>0.8</v>
      </c>
      <c r="C31" s="14" t="s">
        <v>112</v>
      </c>
      <c r="D31" s="20">
        <v>0</v>
      </c>
      <c r="E31" s="14">
        <v>0</v>
      </c>
      <c r="F31" s="14">
        <v>0</v>
      </c>
      <c r="G31" s="14">
        <v>0</v>
      </c>
      <c r="H31" s="14">
        <v>17</v>
      </c>
    </row>
    <row r="32" spans="1:10" x14ac:dyDescent="0.25">
      <c r="A32" s="14" t="s">
        <v>118</v>
      </c>
      <c r="B32" s="14"/>
      <c r="C32" s="14" t="s">
        <v>45</v>
      </c>
      <c r="D32" s="14">
        <v>13</v>
      </c>
      <c r="E32" s="14">
        <v>4</v>
      </c>
      <c r="F32" s="14">
        <v>25</v>
      </c>
      <c r="G32" s="14">
        <v>10</v>
      </c>
      <c r="H32" s="14">
        <v>0</v>
      </c>
    </row>
    <row r="33" spans="1:8" x14ac:dyDescent="0.25">
      <c r="A33" s="14" t="s">
        <v>14</v>
      </c>
      <c r="B33" s="14">
        <v>1.49</v>
      </c>
      <c r="C33" s="14" t="s">
        <v>46</v>
      </c>
      <c r="D33" s="14">
        <v>0</v>
      </c>
      <c r="E33" s="14">
        <v>0</v>
      </c>
      <c r="F33" s="14">
        <v>0</v>
      </c>
      <c r="G33" s="14">
        <v>0</v>
      </c>
      <c r="H33" s="14">
        <v>23.32</v>
      </c>
    </row>
    <row r="34" spans="1:8" x14ac:dyDescent="0.25">
      <c r="A34" s="14" t="s">
        <v>118</v>
      </c>
      <c r="B34" s="14">
        <v>50</v>
      </c>
      <c r="C34" s="14" t="s">
        <v>141</v>
      </c>
      <c r="D34" s="14">
        <v>5</v>
      </c>
      <c r="E34" s="14">
        <v>10</v>
      </c>
      <c r="F34" s="14">
        <v>5</v>
      </c>
      <c r="G34" s="14">
        <v>6.5</v>
      </c>
      <c r="H34" s="14">
        <v>17.899999999999999</v>
      </c>
    </row>
    <row r="35" spans="1:8" x14ac:dyDescent="0.25">
      <c r="A35" s="14" t="s">
        <v>118</v>
      </c>
      <c r="B35" s="14"/>
      <c r="C35" s="14" t="s">
        <v>70</v>
      </c>
      <c r="D35" s="14">
        <v>21</v>
      </c>
      <c r="E35" s="14">
        <v>0</v>
      </c>
      <c r="F35" s="14">
        <v>0</v>
      </c>
      <c r="G35" s="14">
        <v>24</v>
      </c>
      <c r="H35" s="14">
        <v>0</v>
      </c>
    </row>
    <row r="36" spans="1:8" x14ac:dyDescent="0.25">
      <c r="A36" s="14" t="s">
        <v>131</v>
      </c>
      <c r="B36" s="14"/>
      <c r="C36" s="14" t="s">
        <v>130</v>
      </c>
      <c r="D36" s="14">
        <v>0</v>
      </c>
      <c r="E36" s="14">
        <v>0</v>
      </c>
      <c r="F36" s="14">
        <v>5</v>
      </c>
      <c r="G36" s="14">
        <v>0</v>
      </c>
      <c r="H36" s="14">
        <v>20</v>
      </c>
    </row>
    <row r="37" spans="1:8" x14ac:dyDescent="0.25">
      <c r="A37" s="14" t="s">
        <v>118</v>
      </c>
      <c r="B37" s="14"/>
      <c r="C37" s="14" t="s">
        <v>97</v>
      </c>
      <c r="D37" s="14">
        <v>0</v>
      </c>
      <c r="E37" s="14">
        <v>0</v>
      </c>
      <c r="F37" s="14">
        <v>0</v>
      </c>
      <c r="G37" s="14">
        <v>0</v>
      </c>
      <c r="H37" s="14">
        <v>20.5</v>
      </c>
    </row>
    <row r="38" spans="1:8" x14ac:dyDescent="0.25">
      <c r="A38" s="14" t="s">
        <v>148</v>
      </c>
      <c r="B38" s="14"/>
      <c r="C38" s="14" t="s">
        <v>99</v>
      </c>
      <c r="D38" s="14">
        <v>0</v>
      </c>
      <c r="E38" s="14">
        <v>0</v>
      </c>
      <c r="F38" s="14">
        <v>0</v>
      </c>
      <c r="G38" s="14">
        <v>0</v>
      </c>
      <c r="H38" s="14">
        <v>15</v>
      </c>
    </row>
    <row r="39" spans="1:8" x14ac:dyDescent="0.25">
      <c r="A39" s="14" t="s">
        <v>183</v>
      </c>
      <c r="B39" s="14"/>
      <c r="C39" s="14" t="s">
        <v>184</v>
      </c>
      <c r="D39" s="14">
        <v>63</v>
      </c>
      <c r="E39" s="14">
        <v>0</v>
      </c>
      <c r="F39" s="14">
        <v>0</v>
      </c>
      <c r="G39" s="14">
        <v>6</v>
      </c>
      <c r="H39" s="14">
        <v>25.5</v>
      </c>
    </row>
    <row r="40" spans="1:8" x14ac:dyDescent="0.25">
      <c r="A40" s="14" t="s">
        <v>183</v>
      </c>
      <c r="B40" s="14"/>
      <c r="C40" s="14" t="s">
        <v>199</v>
      </c>
      <c r="D40" s="14">
        <v>63</v>
      </c>
      <c r="E40" s="14">
        <v>0</v>
      </c>
      <c r="F40" s="14">
        <v>0</v>
      </c>
      <c r="G40" s="14">
        <v>6</v>
      </c>
      <c r="H40" s="14">
        <v>25.5</v>
      </c>
    </row>
    <row r="41" spans="1:8" x14ac:dyDescent="0.25">
      <c r="A41" s="14" t="s">
        <v>14</v>
      </c>
      <c r="B41" s="14">
        <v>1.45</v>
      </c>
      <c r="C41" s="14" t="s">
        <v>185</v>
      </c>
      <c r="D41" s="14">
        <v>50</v>
      </c>
      <c r="E41" s="14">
        <v>0</v>
      </c>
      <c r="F41" s="14">
        <v>0</v>
      </c>
      <c r="G41" s="14">
        <v>8</v>
      </c>
      <c r="H41" s="14">
        <v>25</v>
      </c>
    </row>
    <row r="42" spans="1:8" x14ac:dyDescent="0.25">
      <c r="A42" s="14" t="s">
        <v>118</v>
      </c>
      <c r="B42" s="14"/>
      <c r="C42" s="14" t="s">
        <v>154</v>
      </c>
      <c r="D42" s="14">
        <v>0</v>
      </c>
      <c r="E42" s="14">
        <v>0</v>
      </c>
      <c r="F42" s="14">
        <v>0</v>
      </c>
      <c r="G42" s="14">
        <v>93</v>
      </c>
      <c r="H42" s="14">
        <v>0</v>
      </c>
    </row>
    <row r="43" spans="1:8" x14ac:dyDescent="0.25">
      <c r="A43" s="14" t="s">
        <v>118</v>
      </c>
      <c r="B43" s="14"/>
      <c r="C43" s="14" t="s">
        <v>155</v>
      </c>
      <c r="D43" s="14">
        <v>0</v>
      </c>
      <c r="E43" s="14">
        <v>0</v>
      </c>
      <c r="F43" s="14">
        <v>0</v>
      </c>
      <c r="G43" s="14">
        <v>0</v>
      </c>
      <c r="H43" s="14">
        <v>12</v>
      </c>
    </row>
    <row r="44" spans="1:8" x14ac:dyDescent="0.25">
      <c r="A44" s="14" t="s">
        <v>118</v>
      </c>
      <c r="B44" s="14"/>
      <c r="C44" s="14" t="s">
        <v>178</v>
      </c>
      <c r="D44" s="14">
        <v>40</v>
      </c>
      <c r="E44" s="14">
        <v>0</v>
      </c>
      <c r="F44" s="14">
        <v>0</v>
      </c>
      <c r="G44" s="14">
        <v>5</v>
      </c>
      <c r="H44" s="14">
        <v>0</v>
      </c>
    </row>
    <row r="45" spans="1:8" x14ac:dyDescent="0.25">
      <c r="A45" s="14" t="s">
        <v>118</v>
      </c>
      <c r="B45" s="14"/>
      <c r="C45" s="14" t="s">
        <v>181</v>
      </c>
      <c r="D45" s="14">
        <v>40</v>
      </c>
      <c r="E45" s="14">
        <v>0</v>
      </c>
      <c r="F45" s="14">
        <v>0</v>
      </c>
      <c r="G45" s="14">
        <v>5</v>
      </c>
      <c r="H45" s="14">
        <v>0</v>
      </c>
    </row>
    <row r="46" spans="1:8" x14ac:dyDescent="0.25">
      <c r="A46" s="14" t="s">
        <v>118</v>
      </c>
      <c r="B46" s="14"/>
      <c r="C46" s="14" t="s">
        <v>182</v>
      </c>
      <c r="D46" s="14">
        <v>43</v>
      </c>
      <c r="E46" s="14">
        <v>0</v>
      </c>
      <c r="F46" s="14">
        <v>0</v>
      </c>
      <c r="G46" s="14">
        <v>0</v>
      </c>
      <c r="H46" s="14">
        <v>0</v>
      </c>
    </row>
    <row r="47" spans="1:8" x14ac:dyDescent="0.25">
      <c r="A47" s="14" t="s">
        <v>118</v>
      </c>
      <c r="B47" s="14"/>
      <c r="C47" s="14" t="s">
        <v>188</v>
      </c>
      <c r="D47" s="14">
        <v>12</v>
      </c>
      <c r="E47" s="14">
        <v>24</v>
      </c>
      <c r="F47" s="14">
        <v>12</v>
      </c>
      <c r="G47" s="14">
        <v>1.6</v>
      </c>
      <c r="H47" s="14">
        <v>2.1</v>
      </c>
    </row>
    <row r="48" spans="1:8" x14ac:dyDescent="0.25">
      <c r="A48" s="14" t="s">
        <v>118</v>
      </c>
      <c r="B48" s="14"/>
      <c r="C48" s="14" t="s">
        <v>189</v>
      </c>
      <c r="D48" s="14">
        <v>15</v>
      </c>
      <c r="E48" s="14">
        <v>4</v>
      </c>
      <c r="F48" s="14">
        <v>23</v>
      </c>
      <c r="G48" s="14">
        <v>2</v>
      </c>
      <c r="H48" s="14">
        <v>4.2</v>
      </c>
    </row>
    <row r="49" spans="1:8" x14ac:dyDescent="0.25">
      <c r="A49" s="14" t="s">
        <v>118</v>
      </c>
      <c r="B49" s="14"/>
      <c r="C49" s="14" t="s">
        <v>190</v>
      </c>
      <c r="D49" s="14">
        <v>0</v>
      </c>
      <c r="E49" s="14">
        <v>0</v>
      </c>
      <c r="F49" s="14">
        <v>3</v>
      </c>
      <c r="G49" s="14">
        <v>19.5</v>
      </c>
      <c r="H49" s="14">
        <v>26</v>
      </c>
    </row>
    <row r="50" spans="1:8" x14ac:dyDescent="0.25">
      <c r="C50" s="14"/>
      <c r="D50" s="14"/>
      <c r="E50" s="14"/>
      <c r="F50" s="14"/>
      <c r="G50" s="14"/>
      <c r="H50" s="14"/>
    </row>
    <row r="51" spans="1:8" s="25" customFormat="1" ht="15.75" x14ac:dyDescent="0.25">
      <c r="C51" s="22" t="s">
        <v>75</v>
      </c>
      <c r="D51" s="22"/>
      <c r="E51" s="26"/>
      <c r="F51" s="26"/>
      <c r="G51" s="26"/>
      <c r="H51" s="26"/>
    </row>
    <row r="52" spans="1:8" x14ac:dyDescent="0.25">
      <c r="C52" s="14" t="s">
        <v>41</v>
      </c>
      <c r="D52" s="14"/>
      <c r="E52" s="14"/>
      <c r="F52" s="14"/>
      <c r="G52" s="14"/>
      <c r="H52" s="14"/>
    </row>
    <row r="53" spans="1:8" x14ac:dyDescent="0.25">
      <c r="C53" s="14" t="s">
        <v>42</v>
      </c>
      <c r="D53" s="14"/>
      <c r="E53" s="14"/>
      <c r="F53" s="14"/>
      <c r="G53" s="14"/>
      <c r="H53" s="14"/>
    </row>
    <row r="54" spans="1:8" x14ac:dyDescent="0.25">
      <c r="C54" s="14" t="s">
        <v>76</v>
      </c>
      <c r="D54" s="14"/>
      <c r="E54" s="14"/>
      <c r="F54" s="14"/>
      <c r="G54" s="14"/>
      <c r="H54" s="14"/>
    </row>
    <row r="55" spans="1:8" ht="45" x14ac:dyDescent="0.25">
      <c r="C55" s="14" t="s">
        <v>77</v>
      </c>
      <c r="D55" s="14" t="s">
        <v>78</v>
      </c>
      <c r="E55" s="14"/>
      <c r="F55" s="14"/>
      <c r="G55" s="14"/>
      <c r="H55" s="14"/>
    </row>
    <row r="56" spans="1:8" ht="30" x14ac:dyDescent="0.25">
      <c r="C56" s="14" t="s">
        <v>79</v>
      </c>
      <c r="D56" s="14"/>
      <c r="E56" s="14"/>
      <c r="F56" s="14"/>
      <c r="G56" s="14"/>
      <c r="H56" s="14"/>
    </row>
    <row r="57" spans="1:8" ht="30" x14ac:dyDescent="0.25">
      <c r="C57" s="14" t="s">
        <v>83</v>
      </c>
      <c r="D57" s="14"/>
      <c r="E57" s="14"/>
      <c r="F57" s="14"/>
      <c r="G57" s="14"/>
      <c r="H57" s="14"/>
    </row>
    <row r="58" spans="1:8" x14ac:dyDescent="0.25">
      <c r="C58" s="27" t="s">
        <v>43</v>
      </c>
      <c r="D58" s="14"/>
      <c r="E58" s="14"/>
      <c r="F58" s="14"/>
      <c r="G58" s="14"/>
      <c r="H58" s="14"/>
    </row>
    <row r="59" spans="1:8" x14ac:dyDescent="0.25">
      <c r="B59" s="14" t="s">
        <v>180</v>
      </c>
      <c r="C59" s="14" t="s">
        <v>179</v>
      </c>
      <c r="E59" s="14"/>
      <c r="F59" s="14"/>
      <c r="G59" s="14"/>
      <c r="H59" s="14"/>
    </row>
    <row r="60" spans="1:8" x14ac:dyDescent="0.25">
      <c r="B60" s="14" t="s">
        <v>193</v>
      </c>
      <c r="C60" s="14" t="s">
        <v>192</v>
      </c>
      <c r="D60" s="14">
        <v>35</v>
      </c>
      <c r="E60" s="14">
        <v>5</v>
      </c>
      <c r="F60" s="14">
        <v>6</v>
      </c>
      <c r="G60" s="14">
        <v>0</v>
      </c>
      <c r="H60" s="14">
        <v>0</v>
      </c>
    </row>
    <row r="61" spans="1:8" x14ac:dyDescent="0.25">
      <c r="B61" s="14" t="s">
        <v>193</v>
      </c>
      <c r="C61" s="14" t="s">
        <v>195</v>
      </c>
      <c r="D61" s="14">
        <v>31</v>
      </c>
      <c r="E61" s="14">
        <v>5</v>
      </c>
      <c r="F61" s="14">
        <v>4</v>
      </c>
      <c r="G61" s="14">
        <v>4</v>
      </c>
      <c r="H61" s="14"/>
    </row>
    <row r="62" spans="1:8" x14ac:dyDescent="0.25">
      <c r="C62" s="14"/>
      <c r="D62" s="14"/>
      <c r="E62" s="14"/>
      <c r="F62" s="14"/>
      <c r="G62" s="14"/>
      <c r="H62" s="14"/>
    </row>
  </sheetData>
  <mergeCells count="1">
    <mergeCell ref="D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D4FB-BAD1-4E51-9284-3CABEE04A490}">
  <dimension ref="A1:P40"/>
  <sheetViews>
    <sheetView zoomScale="47" zoomScaleNormal="34" workbookViewId="0">
      <selection activeCell="D16" sqref="D16"/>
    </sheetView>
  </sheetViews>
  <sheetFormatPr baseColWidth="10" defaultColWidth="10.85546875" defaultRowHeight="15" x14ac:dyDescent="0.25"/>
  <cols>
    <col min="1" max="1" width="24.7109375" style="20" customWidth="1"/>
    <col min="2" max="2" width="22.140625" style="20" customWidth="1"/>
    <col min="3" max="3" width="18.85546875" style="15" customWidth="1"/>
    <col min="4" max="4" width="28.5703125" style="15" customWidth="1"/>
    <col min="5" max="5" width="16.85546875" style="15" customWidth="1"/>
    <col min="6" max="6" width="19.85546875" style="15" customWidth="1"/>
    <col min="7" max="7" width="15.7109375" style="15" customWidth="1"/>
    <col min="8" max="8" width="20.85546875" style="15" customWidth="1"/>
    <col min="9" max="9" width="19.140625" style="15" customWidth="1"/>
    <col min="10" max="10" width="20.85546875" style="15" customWidth="1"/>
    <col min="11" max="11" width="19.140625" style="15" customWidth="1"/>
    <col min="12" max="12" width="18.85546875" style="15" customWidth="1"/>
    <col min="13" max="13" width="23.28515625" style="15" customWidth="1"/>
    <col min="14" max="14" width="15.42578125" style="15" customWidth="1"/>
    <col min="15" max="15" width="19.42578125" style="15" customWidth="1"/>
    <col min="16" max="16" width="14.5703125" style="15" customWidth="1"/>
    <col min="17" max="16384" width="10.85546875" style="15"/>
  </cols>
  <sheetData>
    <row r="1" spans="1:16" ht="35.450000000000003" customHeight="1" x14ac:dyDescent="0.25">
      <c r="A1" s="14"/>
      <c r="B1" s="45" t="s">
        <v>117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18" customFormat="1" ht="47.25" x14ac:dyDescent="0.25">
      <c r="A2" s="16" t="s">
        <v>86</v>
      </c>
      <c r="B2" s="16" t="s">
        <v>85</v>
      </c>
      <c r="C2" s="16" t="s">
        <v>87</v>
      </c>
      <c r="D2" s="16" t="s">
        <v>161</v>
      </c>
      <c r="E2" s="16" t="s">
        <v>27</v>
      </c>
      <c r="F2" s="16" t="s">
        <v>24</v>
      </c>
      <c r="G2" s="16" t="s">
        <v>22</v>
      </c>
      <c r="H2" s="16" t="s">
        <v>25</v>
      </c>
      <c r="I2" s="16" t="s">
        <v>20</v>
      </c>
      <c r="J2" s="16" t="s">
        <v>28</v>
      </c>
      <c r="K2" s="16" t="s">
        <v>120</v>
      </c>
      <c r="L2" s="16" t="s">
        <v>123</v>
      </c>
      <c r="M2" s="16" t="s">
        <v>26</v>
      </c>
      <c r="N2" s="17" t="s">
        <v>21</v>
      </c>
      <c r="O2" s="16" t="s">
        <v>167</v>
      </c>
      <c r="P2" s="16" t="s">
        <v>23</v>
      </c>
    </row>
    <row r="3" spans="1:16" x14ac:dyDescent="0.25">
      <c r="A3" s="14" t="s">
        <v>169</v>
      </c>
      <c r="B3" s="14" t="s">
        <v>14</v>
      </c>
      <c r="C3" s="14">
        <v>1.08</v>
      </c>
      <c r="D3" s="14"/>
      <c r="E3" s="14"/>
      <c r="F3" s="14"/>
      <c r="G3" s="14"/>
      <c r="H3" s="14"/>
      <c r="I3" s="14">
        <v>500</v>
      </c>
      <c r="J3" s="14"/>
      <c r="K3" s="14"/>
      <c r="L3" s="14"/>
      <c r="M3" s="14"/>
      <c r="N3" s="19"/>
      <c r="O3" s="19"/>
      <c r="P3" s="19"/>
    </row>
    <row r="4" spans="1:16" x14ac:dyDescent="0.25">
      <c r="A4" s="14" t="s">
        <v>170</v>
      </c>
      <c r="B4" s="14" t="s">
        <v>118</v>
      </c>
      <c r="C4" s="14">
        <v>0.37</v>
      </c>
      <c r="D4" s="14"/>
      <c r="E4" s="14"/>
      <c r="F4" s="14"/>
      <c r="G4" s="14"/>
      <c r="H4" s="14"/>
      <c r="I4" s="14">
        <v>830</v>
      </c>
      <c r="J4" s="14"/>
      <c r="K4" s="14"/>
      <c r="L4" s="14"/>
      <c r="M4" s="14"/>
      <c r="N4" s="19"/>
      <c r="O4" s="19"/>
      <c r="P4" s="19"/>
    </row>
    <row r="5" spans="1:16" x14ac:dyDescent="0.25">
      <c r="A5" s="14" t="s">
        <v>162</v>
      </c>
      <c r="B5" s="14" t="s">
        <v>14</v>
      </c>
      <c r="C5" s="14">
        <v>1.1499999999999999</v>
      </c>
      <c r="D5" s="14"/>
      <c r="E5" s="14"/>
      <c r="F5" s="14"/>
      <c r="G5" s="14">
        <v>800</v>
      </c>
      <c r="H5" s="14"/>
      <c r="I5" s="14"/>
      <c r="J5" s="14"/>
      <c r="K5" s="14"/>
      <c r="L5" s="14"/>
      <c r="M5" s="14"/>
      <c r="N5" s="19"/>
      <c r="O5" s="19"/>
      <c r="P5" s="19"/>
    </row>
    <row r="6" spans="1:16" x14ac:dyDescent="0.25">
      <c r="A6" s="14" t="s">
        <v>163</v>
      </c>
      <c r="B6" s="14" t="s">
        <v>118</v>
      </c>
      <c r="C6" s="14">
        <v>0.62</v>
      </c>
      <c r="D6" s="14"/>
      <c r="E6" s="14"/>
      <c r="F6" s="14"/>
      <c r="G6" s="14">
        <v>800</v>
      </c>
      <c r="H6" s="14"/>
      <c r="I6" s="14"/>
      <c r="J6" s="14"/>
      <c r="K6" s="14"/>
      <c r="L6" s="14"/>
      <c r="M6" s="14"/>
      <c r="N6" s="19"/>
      <c r="O6" s="19"/>
      <c r="P6" s="19"/>
    </row>
    <row r="7" spans="1:16" ht="30" x14ac:dyDescent="0.25">
      <c r="A7" s="14" t="s">
        <v>174</v>
      </c>
      <c r="B7" s="14" t="s">
        <v>14</v>
      </c>
      <c r="C7" s="14">
        <v>1.1299999999999999</v>
      </c>
      <c r="D7" s="14">
        <v>720</v>
      </c>
      <c r="E7" s="14"/>
      <c r="F7" s="14"/>
      <c r="G7" s="14"/>
      <c r="H7" s="14"/>
      <c r="I7" s="14"/>
      <c r="J7" s="14"/>
      <c r="K7" s="14"/>
      <c r="L7" s="14"/>
      <c r="M7" s="14"/>
      <c r="N7" s="19"/>
      <c r="O7" s="19"/>
      <c r="P7" s="19"/>
    </row>
    <row r="8" spans="1:16" x14ac:dyDescent="0.25">
      <c r="A8" s="14" t="s">
        <v>67</v>
      </c>
      <c r="B8" s="14" t="s">
        <v>14</v>
      </c>
      <c r="C8" s="14">
        <v>0.75</v>
      </c>
      <c r="D8" s="14">
        <v>561</v>
      </c>
      <c r="E8" s="14"/>
      <c r="F8" s="14"/>
      <c r="G8" s="14"/>
      <c r="H8" s="14"/>
      <c r="I8" s="14"/>
      <c r="J8" s="14"/>
      <c r="K8" s="14"/>
      <c r="L8" s="14"/>
      <c r="M8" s="14"/>
      <c r="N8" s="19"/>
      <c r="O8" s="19"/>
      <c r="P8" s="19"/>
    </row>
    <row r="9" spans="1:16" x14ac:dyDescent="0.25">
      <c r="A9" s="14" t="s">
        <v>164</v>
      </c>
      <c r="B9" s="14" t="s">
        <v>14</v>
      </c>
      <c r="C9" s="14" t="s">
        <v>171</v>
      </c>
      <c r="D9" s="14">
        <v>240</v>
      </c>
      <c r="E9" s="14">
        <v>64</v>
      </c>
      <c r="F9" s="14"/>
      <c r="G9" s="14"/>
      <c r="H9" s="14"/>
      <c r="I9" s="14"/>
      <c r="J9" s="14"/>
      <c r="K9" s="14"/>
      <c r="L9" s="14"/>
      <c r="M9" s="14"/>
      <c r="N9" s="19"/>
      <c r="O9" s="19"/>
      <c r="P9" s="19"/>
    </row>
    <row r="10" spans="1:16" ht="30" x14ac:dyDescent="0.25">
      <c r="A10" s="14" t="s">
        <v>165</v>
      </c>
      <c r="B10" s="14" t="s">
        <v>14</v>
      </c>
      <c r="C10" s="14">
        <v>0.89</v>
      </c>
      <c r="D10" s="14">
        <v>240</v>
      </c>
      <c r="E10" s="14">
        <v>64</v>
      </c>
      <c r="F10" s="14"/>
      <c r="G10" s="14"/>
      <c r="H10" s="14"/>
      <c r="I10" s="14"/>
      <c r="J10" s="14"/>
      <c r="K10" s="14"/>
      <c r="L10" s="14"/>
      <c r="M10" s="14"/>
      <c r="N10" s="19"/>
      <c r="O10" s="19"/>
      <c r="P10" s="19"/>
    </row>
    <row r="11" spans="1:16" x14ac:dyDescent="0.25">
      <c r="A11" s="14" t="s">
        <v>172</v>
      </c>
      <c r="B11" s="14" t="s">
        <v>14</v>
      </c>
      <c r="C11" s="14">
        <v>1.1100000000000001</v>
      </c>
      <c r="D11" s="14"/>
      <c r="E11" s="14"/>
      <c r="F11" s="14"/>
      <c r="G11" s="14"/>
      <c r="H11" s="14"/>
      <c r="I11" s="14">
        <v>480</v>
      </c>
      <c r="J11" s="14"/>
      <c r="K11" s="14"/>
      <c r="L11" s="14"/>
      <c r="M11" s="14"/>
      <c r="N11" s="19"/>
      <c r="O11" s="19"/>
      <c r="P11" s="19"/>
    </row>
    <row r="12" spans="1:16" x14ac:dyDescent="0.25">
      <c r="A12" s="14" t="s">
        <v>173</v>
      </c>
      <c r="B12" s="14" t="s">
        <v>118</v>
      </c>
      <c r="C12" s="14">
        <v>0.4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9">
        <v>900</v>
      </c>
      <c r="O12" s="19"/>
      <c r="P12" s="19"/>
    </row>
    <row r="13" spans="1:16" x14ac:dyDescent="0.25">
      <c r="A13" s="14" t="s">
        <v>82</v>
      </c>
      <c r="B13" s="14" t="s">
        <v>14</v>
      </c>
      <c r="C13" s="14">
        <v>1.1000000000000001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9"/>
      <c r="O13" s="19">
        <v>200</v>
      </c>
      <c r="P13" s="19"/>
    </row>
    <row r="14" spans="1:16" x14ac:dyDescent="0.25">
      <c r="A14" s="14" t="s">
        <v>146</v>
      </c>
      <c r="B14" s="14" t="s">
        <v>14</v>
      </c>
      <c r="C14" s="14">
        <v>1.2</v>
      </c>
      <c r="D14" s="14"/>
      <c r="E14" s="14"/>
      <c r="F14" s="14"/>
      <c r="G14" s="14"/>
      <c r="H14" s="14">
        <v>480</v>
      </c>
      <c r="I14" s="14"/>
      <c r="J14" s="14"/>
      <c r="K14" s="14"/>
      <c r="L14" s="14"/>
      <c r="M14" s="14"/>
      <c r="N14" s="19"/>
      <c r="O14" s="19"/>
      <c r="P14" s="19"/>
    </row>
    <row r="15" spans="1:16" x14ac:dyDescent="0.25">
      <c r="A15" s="14" t="s">
        <v>30</v>
      </c>
      <c r="B15" s="14" t="s">
        <v>14</v>
      </c>
      <c r="C15" s="14">
        <v>1.1200000000000001</v>
      </c>
      <c r="D15" s="14">
        <v>240</v>
      </c>
      <c r="E15" s="14">
        <v>64</v>
      </c>
      <c r="F15" s="14"/>
      <c r="G15" s="14"/>
      <c r="H15" s="14"/>
      <c r="I15" s="14"/>
      <c r="J15" s="14"/>
      <c r="K15" s="14"/>
      <c r="L15" s="14"/>
      <c r="M15" s="14"/>
      <c r="N15" s="19"/>
      <c r="O15" s="19"/>
      <c r="P15" s="19"/>
    </row>
    <row r="16" spans="1:16" x14ac:dyDescent="0.25">
      <c r="A16" s="14" t="s">
        <v>84</v>
      </c>
      <c r="B16" s="14" t="s">
        <v>14</v>
      </c>
      <c r="C16" s="14">
        <v>1.1000000000000001</v>
      </c>
      <c r="D16" s="14">
        <v>240</v>
      </c>
      <c r="E16" s="14">
        <v>64</v>
      </c>
      <c r="F16" s="14"/>
      <c r="G16" s="14"/>
      <c r="H16" s="14"/>
      <c r="I16" s="14"/>
      <c r="J16" s="14"/>
      <c r="K16" s="14"/>
      <c r="L16" s="14"/>
      <c r="M16" s="14"/>
      <c r="N16" s="19"/>
      <c r="O16" s="19"/>
      <c r="P16" s="19"/>
    </row>
    <row r="17" spans="1:16" x14ac:dyDescent="0.25">
      <c r="A17" s="14" t="s">
        <v>168</v>
      </c>
      <c r="B17" s="14" t="s">
        <v>118</v>
      </c>
      <c r="C17" s="14"/>
      <c r="D17" s="14"/>
      <c r="E17" s="14"/>
      <c r="F17" s="14">
        <v>755</v>
      </c>
      <c r="G17" s="14"/>
      <c r="H17" s="14"/>
      <c r="I17" s="14"/>
      <c r="J17" s="14"/>
      <c r="K17" s="14"/>
      <c r="L17" s="14"/>
      <c r="M17" s="14"/>
      <c r="N17" s="19"/>
      <c r="O17" s="19"/>
      <c r="P17" s="19"/>
    </row>
    <row r="18" spans="1:16" x14ac:dyDescent="0.25">
      <c r="A18" s="14" t="s">
        <v>115</v>
      </c>
      <c r="B18" s="14" t="s">
        <v>118</v>
      </c>
      <c r="C18" s="14"/>
      <c r="D18" s="14"/>
      <c r="E18" s="14"/>
      <c r="F18" s="14">
        <v>132</v>
      </c>
      <c r="G18" s="14">
        <v>468</v>
      </c>
      <c r="H18" s="14"/>
      <c r="I18" s="14"/>
      <c r="J18" s="14"/>
      <c r="K18" s="14"/>
      <c r="L18" s="14"/>
      <c r="M18" s="14"/>
      <c r="N18" s="19"/>
      <c r="O18" s="19"/>
      <c r="P18" s="19"/>
    </row>
    <row r="19" spans="1:16" x14ac:dyDescent="0.25">
      <c r="A19" s="14" t="s">
        <v>116</v>
      </c>
      <c r="B19" s="14" t="s">
        <v>118</v>
      </c>
      <c r="C19" s="14"/>
      <c r="D19" s="14"/>
      <c r="E19" s="14"/>
      <c r="F19" s="14">
        <v>750</v>
      </c>
      <c r="G19" s="14"/>
      <c r="H19" s="14"/>
      <c r="I19" s="14"/>
      <c r="J19" s="14"/>
      <c r="K19" s="14"/>
      <c r="L19" s="14"/>
      <c r="M19" s="14"/>
      <c r="N19" s="19"/>
      <c r="O19" s="19"/>
      <c r="P19" s="19"/>
    </row>
    <row r="20" spans="1:16" x14ac:dyDescent="0.25">
      <c r="A20" s="14" t="s">
        <v>119</v>
      </c>
      <c r="B20" s="14" t="s">
        <v>14</v>
      </c>
      <c r="C20" s="14">
        <v>1.1499999999999999</v>
      </c>
      <c r="D20" s="14"/>
      <c r="E20" s="14"/>
      <c r="F20" s="14"/>
      <c r="G20" s="14"/>
      <c r="H20" s="14">
        <v>480</v>
      </c>
      <c r="I20" s="14"/>
      <c r="J20" s="14"/>
      <c r="K20" s="14"/>
      <c r="L20" s="14"/>
      <c r="M20" s="14"/>
      <c r="N20" s="19"/>
      <c r="O20" s="19"/>
      <c r="P20" s="19"/>
    </row>
    <row r="21" spans="1:16" x14ac:dyDescent="0.25">
      <c r="A21" s="14" t="s">
        <v>29</v>
      </c>
      <c r="B21" s="14" t="s">
        <v>14</v>
      </c>
      <c r="C21" s="14">
        <v>1.1200000000000001</v>
      </c>
      <c r="D21" s="14"/>
      <c r="E21" s="14"/>
      <c r="F21" s="14"/>
      <c r="G21" s="14"/>
      <c r="H21" s="14"/>
      <c r="I21" s="14">
        <v>400</v>
      </c>
      <c r="J21" s="14">
        <v>250</v>
      </c>
      <c r="K21" s="14"/>
      <c r="L21" s="14"/>
      <c r="M21" s="14"/>
      <c r="N21" s="19"/>
      <c r="O21" s="19"/>
      <c r="P21" s="19"/>
    </row>
    <row r="22" spans="1:16" x14ac:dyDescent="0.25">
      <c r="A22" s="14" t="s">
        <v>166</v>
      </c>
      <c r="B22" s="14" t="s">
        <v>14</v>
      </c>
      <c r="C22" s="14">
        <v>1.1599999999999999</v>
      </c>
      <c r="D22" s="14"/>
      <c r="E22" s="14"/>
      <c r="F22" s="14"/>
      <c r="G22" s="14"/>
      <c r="H22" s="14"/>
      <c r="I22" s="14"/>
      <c r="J22" s="14"/>
      <c r="K22" s="14">
        <v>480</v>
      </c>
      <c r="L22" s="14"/>
      <c r="M22" s="14"/>
      <c r="N22" s="19"/>
      <c r="O22" s="19"/>
      <c r="P22" s="19"/>
    </row>
    <row r="23" spans="1:16" x14ac:dyDescent="0.25">
      <c r="A23" s="14" t="s">
        <v>121</v>
      </c>
      <c r="B23" s="14" t="s">
        <v>14</v>
      </c>
      <c r="C23" s="14">
        <v>1.1499999999999999</v>
      </c>
      <c r="D23" s="14">
        <v>240</v>
      </c>
      <c r="E23" s="14">
        <v>64</v>
      </c>
      <c r="F23" s="14"/>
      <c r="G23" s="14"/>
      <c r="H23" s="14"/>
      <c r="I23" s="14"/>
      <c r="J23" s="14"/>
      <c r="K23" s="14"/>
      <c r="L23" s="14"/>
      <c r="M23" s="14"/>
      <c r="N23" s="19"/>
      <c r="O23" s="19"/>
      <c r="P23" s="19"/>
    </row>
    <row r="24" spans="1:16" x14ac:dyDescent="0.25">
      <c r="A24" s="14" t="s">
        <v>124</v>
      </c>
      <c r="B24" s="14" t="s">
        <v>14</v>
      </c>
      <c r="C24" s="14">
        <v>1.1000000000000001</v>
      </c>
      <c r="D24" s="14"/>
      <c r="E24" s="14"/>
      <c r="F24" s="14"/>
      <c r="G24" s="14"/>
      <c r="H24" s="14"/>
      <c r="I24" s="14"/>
      <c r="J24" s="14"/>
      <c r="K24" s="14"/>
      <c r="L24" s="14">
        <v>500</v>
      </c>
      <c r="M24" s="14"/>
      <c r="N24" s="19"/>
      <c r="O24" s="19"/>
      <c r="P24" s="19"/>
    </row>
    <row r="25" spans="1:16" x14ac:dyDescent="0.25">
      <c r="A25" s="14" t="s">
        <v>129</v>
      </c>
      <c r="B25" s="14" t="s">
        <v>118</v>
      </c>
      <c r="C25" s="14"/>
      <c r="D25" s="14"/>
      <c r="E25" s="14"/>
      <c r="F25" s="14"/>
      <c r="G25" s="14">
        <v>800</v>
      </c>
      <c r="H25" s="14"/>
      <c r="I25" s="14"/>
      <c r="J25" s="14"/>
      <c r="K25" s="14"/>
      <c r="L25" s="14"/>
      <c r="M25" s="14"/>
      <c r="N25" s="19"/>
      <c r="O25" s="19"/>
      <c r="P25" s="19"/>
    </row>
    <row r="26" spans="1:16" x14ac:dyDescent="0.25">
      <c r="A26" s="14" t="s">
        <v>32</v>
      </c>
      <c r="B26" s="14" t="s">
        <v>14</v>
      </c>
      <c r="C26" s="14">
        <v>1.05</v>
      </c>
      <c r="D26" s="14"/>
      <c r="E26" s="14"/>
      <c r="F26" s="14"/>
      <c r="G26" s="14"/>
      <c r="H26" s="14"/>
      <c r="I26" s="14"/>
      <c r="J26" s="14">
        <v>500</v>
      </c>
      <c r="K26" s="14"/>
      <c r="L26" s="14"/>
      <c r="M26" s="14"/>
      <c r="N26" s="19"/>
      <c r="O26" s="19"/>
      <c r="P26" s="19"/>
    </row>
    <row r="27" spans="1:16" x14ac:dyDescent="0.25">
      <c r="A27" s="14" t="s">
        <v>132</v>
      </c>
      <c r="B27" s="14" t="s">
        <v>14</v>
      </c>
      <c r="C27" s="14">
        <v>1.1399999999999999</v>
      </c>
      <c r="D27" s="14">
        <v>240</v>
      </c>
      <c r="E27" s="14">
        <v>64</v>
      </c>
      <c r="F27" s="14"/>
      <c r="G27" s="14"/>
      <c r="H27" s="14"/>
      <c r="I27" s="14"/>
      <c r="J27" s="14"/>
      <c r="K27" s="14"/>
      <c r="L27" s="14"/>
      <c r="M27" s="14"/>
      <c r="N27" s="19"/>
      <c r="O27" s="19"/>
      <c r="P27" s="19"/>
    </row>
    <row r="28" spans="1:16" x14ac:dyDescent="0.25">
      <c r="A28" s="14" t="s">
        <v>28</v>
      </c>
      <c r="B28" s="14" t="s">
        <v>14</v>
      </c>
      <c r="C28" s="14">
        <v>1.05</v>
      </c>
      <c r="D28" s="14"/>
      <c r="E28" s="14"/>
      <c r="F28" s="14"/>
      <c r="G28" s="14"/>
      <c r="H28" s="14"/>
      <c r="I28" s="14"/>
      <c r="J28" s="14">
        <v>500</v>
      </c>
      <c r="K28" s="14"/>
      <c r="L28" s="14"/>
      <c r="M28" s="14"/>
      <c r="N28" s="19"/>
      <c r="O28" s="19"/>
      <c r="P28" s="19"/>
    </row>
    <row r="29" spans="1:16" x14ac:dyDescent="0.25">
      <c r="A29" s="14" t="s">
        <v>133</v>
      </c>
      <c r="B29" s="14" t="s">
        <v>118</v>
      </c>
      <c r="C29" s="14"/>
      <c r="D29" s="14"/>
      <c r="E29" s="14"/>
      <c r="F29" s="14">
        <v>132</v>
      </c>
      <c r="G29" s="14">
        <v>468</v>
      </c>
      <c r="H29" s="14"/>
      <c r="I29" s="14"/>
      <c r="J29" s="14"/>
      <c r="K29" s="14"/>
      <c r="L29" s="14"/>
      <c r="M29" s="14"/>
      <c r="N29" s="19"/>
      <c r="O29" s="19"/>
      <c r="P29" s="19"/>
    </row>
    <row r="30" spans="1:16" x14ac:dyDescent="0.25">
      <c r="A30" s="14" t="s">
        <v>25</v>
      </c>
      <c r="B30" s="14" t="s">
        <v>14</v>
      </c>
      <c r="C30" s="14">
        <v>1.2</v>
      </c>
      <c r="D30" s="14"/>
      <c r="E30" s="14"/>
      <c r="F30" s="14"/>
      <c r="G30" s="14"/>
      <c r="H30" s="14">
        <v>480</v>
      </c>
      <c r="I30" s="14"/>
      <c r="J30" s="14"/>
      <c r="K30" s="14"/>
      <c r="L30" s="14"/>
      <c r="M30" s="14"/>
      <c r="N30" s="19"/>
      <c r="O30" s="19"/>
      <c r="P30" s="19"/>
    </row>
    <row r="31" spans="1:16" x14ac:dyDescent="0.25">
      <c r="A31" s="14" t="s">
        <v>151</v>
      </c>
      <c r="B31" s="14" t="s">
        <v>14</v>
      </c>
      <c r="C31" s="14">
        <v>1.07</v>
      </c>
      <c r="D31" s="14"/>
      <c r="E31" s="14"/>
      <c r="F31" s="14"/>
      <c r="G31" s="14"/>
      <c r="H31" s="14"/>
      <c r="I31" s="14">
        <v>500</v>
      </c>
      <c r="J31" s="14"/>
      <c r="K31" s="14"/>
      <c r="L31" s="14"/>
      <c r="M31" s="14"/>
      <c r="N31" s="19"/>
      <c r="O31" s="19"/>
      <c r="P31" s="19"/>
    </row>
    <row r="32" spans="1:16" x14ac:dyDescent="0.25">
      <c r="A32" s="14" t="s">
        <v>26</v>
      </c>
      <c r="B32" s="14" t="s">
        <v>118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>
        <v>600</v>
      </c>
      <c r="N32" s="19"/>
      <c r="O32" s="19"/>
      <c r="P32" s="19"/>
    </row>
    <row r="33" spans="1:16" x14ac:dyDescent="0.25">
      <c r="A33" s="14" t="s">
        <v>55</v>
      </c>
      <c r="B33" s="14" t="s">
        <v>118</v>
      </c>
      <c r="C33" s="14"/>
      <c r="D33" s="14"/>
      <c r="E33" s="14"/>
      <c r="F33" s="14">
        <v>750</v>
      </c>
      <c r="G33" s="14"/>
      <c r="H33" s="14"/>
      <c r="I33" s="14"/>
      <c r="J33" s="14"/>
      <c r="K33" s="14"/>
      <c r="L33" s="14"/>
      <c r="M33" s="14"/>
      <c r="N33" s="19"/>
      <c r="O33" s="19"/>
      <c r="P33" s="19"/>
    </row>
    <row r="34" spans="1:16" x14ac:dyDescent="0.25">
      <c r="A34" s="14" t="s">
        <v>194</v>
      </c>
      <c r="B34" s="14" t="s">
        <v>118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9"/>
      <c r="O34" s="19"/>
      <c r="P34" s="19">
        <v>680</v>
      </c>
    </row>
    <row r="35" spans="1:16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9"/>
      <c r="O35" s="19"/>
      <c r="P35" s="19"/>
    </row>
    <row r="39" spans="1:16" ht="15.75" x14ac:dyDescent="0.25">
      <c r="B39" s="21" t="s">
        <v>175</v>
      </c>
    </row>
    <row r="40" spans="1:16" ht="15.75" x14ac:dyDescent="0.25">
      <c r="B40" s="21" t="s">
        <v>176</v>
      </c>
    </row>
  </sheetData>
  <mergeCells count="1">
    <mergeCell ref="B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workbookViewId="0">
      <selection activeCell="B8" sqref="B8"/>
    </sheetView>
  </sheetViews>
  <sheetFormatPr baseColWidth="10" defaultRowHeight="15" x14ac:dyDescent="0.25"/>
  <cols>
    <col min="1" max="1" width="14.7109375" style="8" customWidth="1"/>
    <col min="2" max="2" width="23.85546875" style="4" customWidth="1"/>
    <col min="3" max="3" width="14.5703125" style="4" customWidth="1"/>
    <col min="4" max="4" width="16.28515625" style="4" customWidth="1"/>
    <col min="5" max="9" width="10.85546875" style="4"/>
    <col min="11" max="11" width="27.7109375" style="4" customWidth="1"/>
    <col min="13" max="13" width="10.85546875" customWidth="1"/>
    <col min="15" max="15" width="12" hidden="1" customWidth="1"/>
  </cols>
  <sheetData>
    <row r="1" spans="1:15" x14ac:dyDescent="0.25">
      <c r="B1" s="7"/>
    </row>
    <row r="2" spans="1:15" ht="30" x14ac:dyDescent="0.25">
      <c r="A2" s="31" t="s">
        <v>201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8"/>
      <c r="K2" s="5" t="s">
        <v>198</v>
      </c>
      <c r="L2" s="8" t="s">
        <v>197</v>
      </c>
      <c r="M2" s="8" t="s">
        <v>12</v>
      </c>
      <c r="O2" t="s">
        <v>12</v>
      </c>
    </row>
    <row r="3" spans="1:15" x14ac:dyDescent="0.25">
      <c r="A3" s="6"/>
      <c r="B3" s="3">
        <v>5</v>
      </c>
      <c r="C3" s="3">
        <v>19.73</v>
      </c>
      <c r="D3" s="3" t="s">
        <v>119</v>
      </c>
      <c r="E3" s="3">
        <f>G3*C3</f>
        <v>6.9055</v>
      </c>
      <c r="F3" s="3" t="s">
        <v>17</v>
      </c>
      <c r="G3" s="3">
        <v>0.35</v>
      </c>
      <c r="H3" s="3" t="s">
        <v>14</v>
      </c>
      <c r="K3" s="3" t="s">
        <v>169</v>
      </c>
      <c r="L3" s="8" t="s">
        <v>14</v>
      </c>
      <c r="M3" s="8" t="s">
        <v>17</v>
      </c>
      <c r="O3" t="s">
        <v>33</v>
      </c>
    </row>
    <row r="4" spans="1:15" x14ac:dyDescent="0.25">
      <c r="A4" s="6"/>
      <c r="B4" s="3"/>
      <c r="C4" s="3"/>
      <c r="D4" s="3" t="s">
        <v>129</v>
      </c>
      <c r="E4" s="3">
        <f>G4*C3</f>
        <v>39.46</v>
      </c>
      <c r="F4" s="3" t="s">
        <v>18</v>
      </c>
      <c r="G4" s="3">
        <v>2</v>
      </c>
      <c r="H4" s="3" t="s">
        <v>15</v>
      </c>
      <c r="K4" s="3" t="s">
        <v>170</v>
      </c>
      <c r="L4" s="8" t="s">
        <v>15</v>
      </c>
      <c r="M4" s="8" t="s">
        <v>18</v>
      </c>
      <c r="O4" t="s">
        <v>17</v>
      </c>
    </row>
    <row r="5" spans="1:15" x14ac:dyDescent="0.25">
      <c r="A5" s="6"/>
      <c r="B5" s="3"/>
      <c r="C5" s="3"/>
      <c r="D5" s="3" t="s">
        <v>169</v>
      </c>
      <c r="E5" s="3">
        <f>G5*C3</f>
        <v>39.46</v>
      </c>
      <c r="F5" s="3" t="s">
        <v>17</v>
      </c>
      <c r="G5" s="3">
        <v>2</v>
      </c>
      <c r="H5" s="3" t="s">
        <v>14</v>
      </c>
      <c r="K5" s="3" t="s">
        <v>162</v>
      </c>
      <c r="L5" s="8" t="s">
        <v>16</v>
      </c>
      <c r="M5" s="8" t="s">
        <v>19</v>
      </c>
      <c r="O5" t="s">
        <v>34</v>
      </c>
    </row>
    <row r="6" spans="1:15" x14ac:dyDescent="0.25">
      <c r="A6" s="6"/>
      <c r="B6" s="3"/>
      <c r="C6" s="3"/>
      <c r="D6" s="3" t="s">
        <v>30</v>
      </c>
      <c r="E6" s="3">
        <f>G6*C3</f>
        <v>29.594999999999999</v>
      </c>
      <c r="F6" s="3" t="s">
        <v>17</v>
      </c>
      <c r="G6" s="3">
        <v>1.5</v>
      </c>
      <c r="H6" s="3" t="s">
        <v>14</v>
      </c>
      <c r="K6" s="3" t="s">
        <v>163</v>
      </c>
      <c r="L6" s="8"/>
      <c r="M6" s="8"/>
      <c r="O6" t="s">
        <v>35</v>
      </c>
    </row>
    <row r="7" spans="1:15" x14ac:dyDescent="0.25">
      <c r="A7" s="6"/>
      <c r="B7" s="3"/>
      <c r="C7" s="3"/>
      <c r="D7" s="3"/>
      <c r="E7" s="3"/>
      <c r="F7" s="3"/>
      <c r="G7" s="3"/>
      <c r="H7" s="3"/>
      <c r="K7" s="3" t="s">
        <v>174</v>
      </c>
    </row>
    <row r="8" spans="1:15" x14ac:dyDescent="0.25">
      <c r="A8" s="6"/>
      <c r="B8" s="3"/>
      <c r="C8" s="3"/>
      <c r="D8" s="3"/>
      <c r="E8" s="3"/>
      <c r="F8" s="3"/>
      <c r="G8" s="3"/>
      <c r="H8" s="3"/>
      <c r="K8" s="3" t="s">
        <v>67</v>
      </c>
    </row>
    <row r="9" spans="1:15" x14ac:dyDescent="0.25">
      <c r="A9" s="6"/>
      <c r="B9" s="3"/>
      <c r="C9" s="3"/>
      <c r="D9" s="3"/>
      <c r="E9" s="3"/>
      <c r="F9" s="3"/>
      <c r="G9" s="3"/>
      <c r="H9" s="3"/>
      <c r="K9" s="3" t="s">
        <v>164</v>
      </c>
    </row>
    <row r="10" spans="1:15" x14ac:dyDescent="0.25">
      <c r="A10" s="6"/>
      <c r="B10" s="3"/>
      <c r="C10" s="3"/>
      <c r="D10" s="3"/>
      <c r="E10" s="3"/>
      <c r="F10" s="3"/>
      <c r="G10" s="3"/>
      <c r="H10" s="3"/>
      <c r="K10" s="3" t="s">
        <v>165</v>
      </c>
    </row>
    <row r="11" spans="1:15" x14ac:dyDescent="0.25">
      <c r="A11" s="6"/>
      <c r="B11" s="3"/>
      <c r="C11" s="3"/>
      <c r="D11" s="3"/>
      <c r="E11" s="3"/>
      <c r="F11" s="3"/>
      <c r="G11" s="3"/>
      <c r="H11" s="3"/>
      <c r="K11" s="3" t="s">
        <v>172</v>
      </c>
    </row>
    <row r="12" spans="1:15" x14ac:dyDescent="0.25">
      <c r="A12" s="6"/>
      <c r="B12" s="3"/>
      <c r="C12" s="3"/>
      <c r="D12" s="3"/>
      <c r="E12" s="3"/>
      <c r="F12" s="3"/>
      <c r="G12" s="3"/>
      <c r="H12" s="3"/>
      <c r="K12" s="3" t="s">
        <v>173</v>
      </c>
    </row>
    <row r="13" spans="1:15" x14ac:dyDescent="0.25">
      <c r="A13" s="6"/>
      <c r="B13" s="3"/>
      <c r="C13" s="3"/>
      <c r="D13" s="3"/>
      <c r="E13" s="3"/>
      <c r="F13" s="3"/>
      <c r="G13" s="3"/>
      <c r="H13" s="3"/>
      <c r="K13" s="3" t="s">
        <v>82</v>
      </c>
    </row>
    <row r="14" spans="1:15" x14ac:dyDescent="0.25">
      <c r="A14" s="6"/>
      <c r="B14" s="3"/>
      <c r="C14" s="3"/>
      <c r="D14" s="3"/>
      <c r="E14" s="3"/>
      <c r="F14" s="3"/>
      <c r="G14" s="3"/>
      <c r="H14" s="3"/>
      <c r="K14" s="3" t="s">
        <v>146</v>
      </c>
    </row>
    <row r="15" spans="1:15" x14ac:dyDescent="0.25">
      <c r="A15" s="6"/>
      <c r="B15" s="3"/>
      <c r="C15" s="3"/>
      <c r="D15" s="3"/>
      <c r="E15" s="3"/>
      <c r="F15" s="3"/>
      <c r="G15" s="3"/>
      <c r="H15" s="3"/>
      <c r="K15" s="3" t="s">
        <v>30</v>
      </c>
    </row>
    <row r="16" spans="1:15" x14ac:dyDescent="0.25">
      <c r="A16" s="6"/>
      <c r="B16" s="3"/>
      <c r="C16" s="3"/>
      <c r="D16" s="3"/>
      <c r="E16" s="3"/>
      <c r="F16" s="3"/>
      <c r="G16" s="3"/>
      <c r="H16" s="3"/>
      <c r="K16" s="3" t="s">
        <v>84</v>
      </c>
    </row>
    <row r="17" spans="1:11" x14ac:dyDescent="0.25">
      <c r="A17" s="6"/>
      <c r="B17" s="3"/>
      <c r="C17" s="3"/>
      <c r="D17" s="3"/>
      <c r="E17" s="3"/>
      <c r="F17" s="3"/>
      <c r="G17" s="3"/>
      <c r="H17" s="3"/>
      <c r="K17" s="3" t="s">
        <v>168</v>
      </c>
    </row>
    <row r="18" spans="1:11" x14ac:dyDescent="0.25">
      <c r="A18" s="6"/>
      <c r="B18" s="3"/>
      <c r="C18" s="3"/>
      <c r="D18" s="3"/>
      <c r="E18" s="3"/>
      <c r="F18" s="3"/>
      <c r="G18" s="3"/>
      <c r="H18" s="3"/>
      <c r="K18" s="3" t="s">
        <v>115</v>
      </c>
    </row>
    <row r="19" spans="1:11" x14ac:dyDescent="0.25">
      <c r="A19" s="6"/>
      <c r="B19" s="3"/>
      <c r="C19" s="3"/>
      <c r="D19" s="3"/>
      <c r="E19" s="3"/>
      <c r="F19" s="3"/>
      <c r="G19" s="3"/>
      <c r="H19" s="3"/>
      <c r="K19" s="3" t="s">
        <v>116</v>
      </c>
    </row>
    <row r="20" spans="1:11" x14ac:dyDescent="0.25">
      <c r="A20" s="6"/>
      <c r="B20" s="3"/>
      <c r="C20" s="3"/>
      <c r="D20" s="3"/>
      <c r="E20" s="3"/>
      <c r="F20" s="3"/>
      <c r="G20" s="3"/>
      <c r="H20" s="3"/>
      <c r="K20" s="3" t="s">
        <v>119</v>
      </c>
    </row>
    <row r="21" spans="1:11" x14ac:dyDescent="0.25">
      <c r="A21" s="6"/>
      <c r="B21" s="3"/>
      <c r="C21" s="3"/>
      <c r="D21" s="3"/>
      <c r="E21" s="3"/>
      <c r="F21" s="3"/>
      <c r="G21" s="3"/>
      <c r="H21" s="3"/>
      <c r="K21" s="3" t="s">
        <v>29</v>
      </c>
    </row>
    <row r="22" spans="1:11" x14ac:dyDescent="0.25">
      <c r="A22" s="6"/>
      <c r="B22" s="3"/>
      <c r="C22" s="3"/>
      <c r="D22" s="3"/>
      <c r="E22" s="3"/>
      <c r="F22" s="3"/>
      <c r="G22" s="3"/>
      <c r="H22" s="3"/>
      <c r="K22" s="3" t="s">
        <v>166</v>
      </c>
    </row>
    <row r="23" spans="1:11" x14ac:dyDescent="0.25">
      <c r="A23" s="6"/>
      <c r="B23" s="3"/>
      <c r="C23" s="3"/>
      <c r="D23" s="3"/>
      <c r="E23" s="3"/>
      <c r="F23" s="3"/>
      <c r="G23" s="3"/>
      <c r="H23" s="3"/>
      <c r="K23" s="3" t="s">
        <v>121</v>
      </c>
    </row>
    <row r="24" spans="1:11" x14ac:dyDescent="0.25">
      <c r="A24" s="6"/>
      <c r="B24" s="3"/>
      <c r="C24" s="3"/>
      <c r="D24" s="3"/>
      <c r="E24" s="3"/>
      <c r="F24" s="3"/>
      <c r="G24" s="3"/>
      <c r="H24" s="3"/>
      <c r="K24" s="3" t="s">
        <v>124</v>
      </c>
    </row>
    <row r="25" spans="1:11" x14ac:dyDescent="0.25">
      <c r="A25" s="6"/>
      <c r="B25" s="3"/>
      <c r="C25" s="3"/>
      <c r="D25" s="3"/>
      <c r="E25" s="3"/>
      <c r="F25" s="3"/>
      <c r="G25" s="3"/>
      <c r="H25" s="3"/>
      <c r="K25" s="3" t="s">
        <v>129</v>
      </c>
    </row>
    <row r="26" spans="1:11" x14ac:dyDescent="0.25">
      <c r="A26" s="6"/>
      <c r="B26" s="3"/>
      <c r="C26" s="3"/>
      <c r="D26" s="3"/>
      <c r="E26" s="3"/>
      <c r="F26" s="3"/>
      <c r="G26" s="3"/>
      <c r="H26" s="3"/>
      <c r="K26" s="3" t="s">
        <v>32</v>
      </c>
    </row>
    <row r="27" spans="1:11" x14ac:dyDescent="0.25">
      <c r="A27" s="6"/>
      <c r="B27" s="3"/>
      <c r="C27" s="3"/>
      <c r="D27" s="3"/>
      <c r="E27" s="3"/>
      <c r="F27" s="3"/>
      <c r="G27" s="3"/>
      <c r="H27" s="3"/>
      <c r="K27" s="3" t="s">
        <v>132</v>
      </c>
    </row>
    <row r="28" spans="1:11" x14ac:dyDescent="0.25">
      <c r="A28" s="6"/>
      <c r="B28" s="3"/>
      <c r="C28" s="3"/>
      <c r="D28" s="3"/>
      <c r="E28" s="3"/>
      <c r="F28" s="3"/>
      <c r="G28" s="3"/>
      <c r="H28" s="3"/>
      <c r="K28" s="3" t="s">
        <v>28</v>
      </c>
    </row>
    <row r="29" spans="1:11" x14ac:dyDescent="0.25">
      <c r="A29" s="6"/>
      <c r="B29" s="3"/>
      <c r="C29" s="3"/>
      <c r="D29" s="3"/>
      <c r="E29" s="3"/>
      <c r="F29" s="3"/>
      <c r="G29" s="3"/>
      <c r="H29" s="3"/>
      <c r="K29" s="3" t="s">
        <v>133</v>
      </c>
    </row>
    <row r="30" spans="1:11" x14ac:dyDescent="0.25">
      <c r="A30" s="6"/>
      <c r="B30" s="3"/>
      <c r="C30" s="3"/>
      <c r="D30" s="3"/>
      <c r="E30" s="3"/>
      <c r="F30" s="3"/>
      <c r="G30" s="3"/>
      <c r="H30" s="3"/>
      <c r="K30" s="3" t="s">
        <v>25</v>
      </c>
    </row>
    <row r="31" spans="1:11" x14ac:dyDescent="0.25">
      <c r="A31" s="6"/>
      <c r="B31" s="3"/>
      <c r="C31" s="3"/>
      <c r="D31" s="3"/>
      <c r="E31" s="3"/>
      <c r="F31" s="3"/>
      <c r="G31" s="3"/>
      <c r="H31" s="3"/>
      <c r="K31" s="3" t="s">
        <v>151</v>
      </c>
    </row>
    <row r="32" spans="1:11" x14ac:dyDescent="0.25">
      <c r="A32" s="6"/>
      <c r="B32" s="3"/>
      <c r="C32" s="3"/>
      <c r="D32" s="3"/>
      <c r="E32" s="3"/>
      <c r="F32" s="3"/>
      <c r="G32" s="3"/>
      <c r="H32" s="3"/>
      <c r="K32" s="3" t="s">
        <v>26</v>
      </c>
    </row>
    <row r="33" spans="1:11" x14ac:dyDescent="0.25">
      <c r="A33" s="6"/>
      <c r="B33" s="3"/>
      <c r="C33" s="3"/>
      <c r="D33" s="3"/>
      <c r="E33" s="3"/>
      <c r="F33" s="3"/>
      <c r="G33" s="3"/>
      <c r="H33" s="3"/>
      <c r="K33" s="3" t="s">
        <v>55</v>
      </c>
    </row>
    <row r="34" spans="1:11" x14ac:dyDescent="0.25">
      <c r="A34" s="6"/>
      <c r="B34" s="3"/>
      <c r="C34" s="3"/>
      <c r="D34" s="3"/>
      <c r="E34" s="3"/>
      <c r="F34" s="3"/>
      <c r="G34" s="3"/>
      <c r="H34" s="3"/>
      <c r="K34" s="3" t="s">
        <v>194</v>
      </c>
    </row>
    <row r="35" spans="1:11" x14ac:dyDescent="0.25">
      <c r="A35" s="6"/>
      <c r="B35" s="3"/>
      <c r="C35" s="3"/>
      <c r="D35" s="3"/>
      <c r="E35" s="3"/>
      <c r="F35" s="3"/>
      <c r="G35" s="3"/>
      <c r="H35" s="3"/>
    </row>
    <row r="36" spans="1:11" x14ac:dyDescent="0.25">
      <c r="A36" s="6"/>
      <c r="B36" s="3"/>
      <c r="C36" s="3"/>
      <c r="D36" s="3"/>
      <c r="E36" s="3"/>
      <c r="F36" s="3"/>
      <c r="G36" s="3"/>
      <c r="H36" s="3"/>
    </row>
    <row r="37" spans="1:11" x14ac:dyDescent="0.25">
      <c r="A37" s="6"/>
      <c r="B37" s="3"/>
      <c r="C37" s="3"/>
      <c r="D37" s="3"/>
      <c r="E37" s="3"/>
      <c r="F37" s="3"/>
      <c r="G37" s="3"/>
      <c r="H37" s="3"/>
    </row>
    <row r="38" spans="1:11" x14ac:dyDescent="0.25">
      <c r="A38" s="6"/>
      <c r="B38" s="3"/>
      <c r="C38" s="3"/>
      <c r="D38" s="3"/>
      <c r="E38" s="3"/>
      <c r="F38" s="3"/>
      <c r="G38" s="3"/>
      <c r="H38" s="3"/>
    </row>
    <row r="39" spans="1:11" x14ac:dyDescent="0.25">
      <c r="A39" s="6"/>
      <c r="B39" s="3"/>
      <c r="C39" s="3"/>
      <c r="D39" s="3"/>
      <c r="E39" s="3"/>
      <c r="F39" s="3"/>
      <c r="G39" s="3"/>
      <c r="H39" s="3"/>
    </row>
    <row r="40" spans="1:11" x14ac:dyDescent="0.25">
      <c r="A40" s="6"/>
      <c r="B40" s="3"/>
      <c r="C40" s="3"/>
      <c r="D40" s="3"/>
      <c r="E40" s="3"/>
      <c r="F40" s="3"/>
      <c r="G40" s="3"/>
      <c r="H40" s="3"/>
    </row>
    <row r="41" spans="1:11" x14ac:dyDescent="0.25">
      <c r="A41" s="6"/>
      <c r="B41" s="3"/>
      <c r="C41" s="3"/>
      <c r="D41" s="3"/>
      <c r="E41" s="3"/>
      <c r="F41" s="3"/>
      <c r="G41" s="3"/>
      <c r="H41" s="3"/>
    </row>
    <row r="42" spans="1:11" x14ac:dyDescent="0.25">
      <c r="A42" s="6"/>
      <c r="B42" s="3"/>
      <c r="C42" s="3"/>
      <c r="D42" s="3"/>
      <c r="E42" s="3"/>
      <c r="F42" s="3"/>
      <c r="G42" s="3"/>
      <c r="H42" s="3"/>
    </row>
    <row r="43" spans="1:11" x14ac:dyDescent="0.25">
      <c r="A43" s="6"/>
      <c r="B43" s="3"/>
      <c r="C43" s="3"/>
      <c r="D43" s="3"/>
      <c r="E43" s="3"/>
      <c r="F43" s="3"/>
      <c r="G43" s="3"/>
      <c r="H43" s="3"/>
    </row>
    <row r="44" spans="1:11" x14ac:dyDescent="0.25">
      <c r="B44" s="3"/>
      <c r="C44" s="3"/>
      <c r="D44" s="3"/>
      <c r="E44" s="3"/>
      <c r="F44" s="3"/>
      <c r="G44" s="3"/>
      <c r="H44" s="3"/>
    </row>
    <row r="45" spans="1:11" x14ac:dyDescent="0.25">
      <c r="B45" s="3"/>
      <c r="C45" s="3"/>
      <c r="D45" s="3"/>
      <c r="E45" s="3"/>
      <c r="F45" s="3"/>
      <c r="G45" s="3"/>
      <c r="H45" s="3"/>
    </row>
    <row r="46" spans="1:11" x14ac:dyDescent="0.25">
      <c r="B46" s="3"/>
      <c r="C46" s="3"/>
      <c r="D46" s="3"/>
      <c r="E46" s="3"/>
      <c r="F46" s="3"/>
      <c r="G46" s="3"/>
      <c r="H46" s="3"/>
    </row>
    <row r="47" spans="1:11" x14ac:dyDescent="0.25">
      <c r="B47" s="3"/>
      <c r="C47" s="3"/>
      <c r="D47" s="3"/>
      <c r="E47" s="3"/>
      <c r="F47" s="3"/>
      <c r="G47" s="3"/>
      <c r="H47" s="3"/>
    </row>
    <row r="48" spans="1:11" x14ac:dyDescent="0.25">
      <c r="D48"/>
    </row>
    <row r="49" spans="4:4" x14ac:dyDescent="0.25">
      <c r="D49"/>
    </row>
    <row r="50" spans="4:4" x14ac:dyDescent="0.25">
      <c r="D50"/>
    </row>
  </sheetData>
  <phoneticPr fontId="3" type="noConversion"/>
  <dataValidations count="3">
    <dataValidation type="list" allowBlank="1" showInputMessage="1" showErrorMessage="1" sqref="D3:D47" xr:uid="{DD71987B-0EF3-492F-B0F8-FCA2D562221B}">
      <formula1>$K$3:$K$34</formula1>
    </dataValidation>
    <dataValidation type="list" allowBlank="1" showInputMessage="1" showErrorMessage="1" sqref="F3:F47" xr:uid="{C473980E-4F63-499D-B291-34E281004D34}">
      <formula1>$M$3:$M$5</formula1>
    </dataValidation>
    <dataValidation type="list" allowBlank="1" showInputMessage="1" showErrorMessage="1" sqref="H3:H47" xr:uid="{80F72EFA-2368-45AF-9231-F108A0358981}">
      <formula1>$L$3:$L$5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977E-C6EF-4BC3-8B06-47C8B3029144}">
  <dimension ref="A2:D14"/>
  <sheetViews>
    <sheetView workbookViewId="0">
      <selection activeCell="A2" sqref="A2:B14"/>
    </sheetView>
  </sheetViews>
  <sheetFormatPr baseColWidth="10" defaultRowHeight="15" x14ac:dyDescent="0.25"/>
  <cols>
    <col min="2" max="2" width="15.85546875" customWidth="1"/>
  </cols>
  <sheetData>
    <row r="2" spans="1:4" x14ac:dyDescent="0.25">
      <c r="A2" s="2" t="s">
        <v>36</v>
      </c>
      <c r="B2" s="2" t="s">
        <v>57</v>
      </c>
      <c r="C2" s="2" t="s">
        <v>58</v>
      </c>
      <c r="D2" s="2" t="s">
        <v>59</v>
      </c>
    </row>
    <row r="3" spans="1:4" x14ac:dyDescent="0.25">
      <c r="A3" s="1" t="s">
        <v>37</v>
      </c>
      <c r="B3" s="3"/>
      <c r="C3" s="3"/>
      <c r="D3" s="1"/>
    </row>
    <row r="4" spans="1:4" x14ac:dyDescent="0.25">
      <c r="A4" s="1" t="s">
        <v>38</v>
      </c>
      <c r="B4" s="3"/>
      <c r="C4" s="3"/>
      <c r="D4" s="1"/>
    </row>
    <row r="5" spans="1:4" x14ac:dyDescent="0.25">
      <c r="A5" s="1" t="s">
        <v>39</v>
      </c>
      <c r="B5" s="3"/>
      <c r="C5" s="3"/>
      <c r="D5" s="1"/>
    </row>
    <row r="6" spans="1:4" x14ac:dyDescent="0.25">
      <c r="A6" s="1" t="s">
        <v>40</v>
      </c>
      <c r="B6" s="3"/>
      <c r="C6" s="3"/>
      <c r="D6" s="1"/>
    </row>
    <row r="7" spans="1:4" x14ac:dyDescent="0.25">
      <c r="A7" s="1" t="s">
        <v>47</v>
      </c>
      <c r="B7" s="3"/>
      <c r="C7" s="3"/>
      <c r="D7" s="1"/>
    </row>
    <row r="8" spans="1:4" x14ac:dyDescent="0.25">
      <c r="A8" s="1" t="s">
        <v>48</v>
      </c>
      <c r="B8" s="3"/>
      <c r="C8" s="3"/>
      <c r="D8" s="1"/>
    </row>
    <row r="9" spans="1:4" x14ac:dyDescent="0.25">
      <c r="A9" s="1" t="s">
        <v>49</v>
      </c>
      <c r="B9" s="3"/>
      <c r="C9" s="3"/>
      <c r="D9" s="1"/>
    </row>
    <row r="10" spans="1:4" x14ac:dyDescent="0.25">
      <c r="A10" s="1" t="s">
        <v>50</v>
      </c>
      <c r="B10" s="3"/>
      <c r="C10" s="3"/>
      <c r="D10" s="1"/>
    </row>
    <row r="11" spans="1:4" x14ac:dyDescent="0.25">
      <c r="A11" s="1" t="s">
        <v>51</v>
      </c>
      <c r="B11" s="3"/>
      <c r="C11" s="3"/>
      <c r="D11" s="1"/>
    </row>
    <row r="12" spans="1:4" x14ac:dyDescent="0.25">
      <c r="A12" s="1" t="s">
        <v>52</v>
      </c>
      <c r="B12" s="3"/>
      <c r="C12" s="3"/>
      <c r="D12" s="1"/>
    </row>
    <row r="13" spans="1:4" x14ac:dyDescent="0.25">
      <c r="A13" s="1" t="s">
        <v>53</v>
      </c>
      <c r="B13" s="3"/>
      <c r="C13" s="3"/>
      <c r="D13" s="1"/>
    </row>
    <row r="14" spans="1:4" x14ac:dyDescent="0.25">
      <c r="A14" s="1" t="s">
        <v>54</v>
      </c>
      <c r="B14" s="3"/>
      <c r="C14" s="3"/>
      <c r="D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284F-7AF0-4C83-9B77-B52E65C18331}">
  <dimension ref="A3:C16"/>
  <sheetViews>
    <sheetView topLeftCell="A4" workbookViewId="0">
      <selection activeCell="D13" sqref="D13"/>
    </sheetView>
  </sheetViews>
  <sheetFormatPr baseColWidth="10" defaultColWidth="10.85546875" defaultRowHeight="15" x14ac:dyDescent="0.25"/>
  <cols>
    <col min="1" max="1" width="10.85546875" style="8"/>
    <col min="2" max="2" width="15.42578125" style="8" customWidth="1"/>
    <col min="3" max="16384" width="10.85546875" style="8"/>
  </cols>
  <sheetData>
    <row r="3" spans="1:3" x14ac:dyDescent="0.25">
      <c r="A3" s="12"/>
      <c r="B3" s="46" t="s">
        <v>138</v>
      </c>
      <c r="C3" s="46"/>
    </row>
    <row r="4" spans="1:3" x14ac:dyDescent="0.25">
      <c r="A4" s="13" t="s">
        <v>36</v>
      </c>
      <c r="B4" s="10" t="s">
        <v>139</v>
      </c>
      <c r="C4" s="13" t="s">
        <v>140</v>
      </c>
    </row>
    <row r="5" spans="1:3" x14ac:dyDescent="0.25">
      <c r="A5" s="11" t="s">
        <v>37</v>
      </c>
      <c r="B5" s="11"/>
      <c r="C5" s="9"/>
    </row>
    <row r="6" spans="1:3" x14ac:dyDescent="0.25">
      <c r="A6" s="11" t="s">
        <v>38</v>
      </c>
      <c r="B6" s="11"/>
      <c r="C6" s="9"/>
    </row>
    <row r="7" spans="1:3" x14ac:dyDescent="0.25">
      <c r="A7" s="11" t="s">
        <v>39</v>
      </c>
      <c r="B7" s="11"/>
      <c r="C7" s="9"/>
    </row>
    <row r="8" spans="1:3" x14ac:dyDescent="0.25">
      <c r="A8" s="11" t="s">
        <v>40</v>
      </c>
      <c r="B8" s="11"/>
      <c r="C8" s="9"/>
    </row>
    <row r="9" spans="1:3" x14ac:dyDescent="0.25">
      <c r="A9" s="11" t="s">
        <v>47</v>
      </c>
      <c r="B9" s="11"/>
      <c r="C9" s="9"/>
    </row>
    <row r="10" spans="1:3" x14ac:dyDescent="0.25">
      <c r="A10" s="11" t="s">
        <v>48</v>
      </c>
      <c r="B10" s="11"/>
      <c r="C10" s="9"/>
    </row>
    <row r="11" spans="1:3" x14ac:dyDescent="0.25">
      <c r="A11" s="11" t="s">
        <v>49</v>
      </c>
      <c r="B11" s="11"/>
      <c r="C11" s="9"/>
    </row>
    <row r="12" spans="1:3" x14ac:dyDescent="0.25">
      <c r="A12" s="11" t="s">
        <v>50</v>
      </c>
      <c r="B12" s="11"/>
      <c r="C12" s="9"/>
    </row>
    <row r="13" spans="1:3" ht="30" x14ac:dyDescent="0.25">
      <c r="A13" s="11" t="s">
        <v>51</v>
      </c>
      <c r="B13" s="11"/>
      <c r="C13" s="9"/>
    </row>
    <row r="14" spans="1:3" x14ac:dyDescent="0.25">
      <c r="A14" s="11" t="s">
        <v>52</v>
      </c>
      <c r="B14" s="11"/>
      <c r="C14" s="9"/>
    </row>
    <row r="15" spans="1:3" ht="30" x14ac:dyDescent="0.25">
      <c r="A15" s="11" t="s">
        <v>53</v>
      </c>
      <c r="B15" s="11"/>
      <c r="C15" s="9"/>
    </row>
    <row r="16" spans="1:3" x14ac:dyDescent="0.25">
      <c r="A16" s="11" t="s">
        <v>54</v>
      </c>
      <c r="B16" s="11"/>
      <c r="C16" s="9"/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FFEAC87B09F478F4984798FDF0FF5" ma:contentTypeVersion="14" ma:contentTypeDescription="Crear nuevo documento." ma:contentTypeScope="" ma:versionID="27c8ab74cdf840bae44201595f0340f9">
  <xsd:schema xmlns:xsd="http://www.w3.org/2001/XMLSchema" xmlns:xs="http://www.w3.org/2001/XMLSchema" xmlns:p="http://schemas.microsoft.com/office/2006/metadata/properties" xmlns:ns3="84356c98-0a56-43f6-a19a-ab649b0633f5" xmlns:ns4="f251c2ad-7566-42ce-bef5-3718a7a6b7b6" targetNamespace="http://schemas.microsoft.com/office/2006/metadata/properties" ma:root="true" ma:fieldsID="5973cf5253b33e5f553f4b9a4ffc3336" ns3:_="" ns4:_="">
    <xsd:import namespace="84356c98-0a56-43f6-a19a-ab649b0633f5"/>
    <xsd:import namespace="f251c2ad-7566-42ce-bef5-3718a7a6b7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6c98-0a56-43f6-a19a-ab649b063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1c2ad-7566-42ce-bef5-3718a7a6b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702105-D935-4BF9-BC7E-74F5625A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56c98-0a56-43f6-a19a-ab649b0633f5"/>
    <ds:schemaRef ds:uri="f251c2ad-7566-42ce-bef5-3718a7a6b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10C14-8897-409D-BEEF-DCF28ED2F92C}">
  <ds:schemaRefs>
    <ds:schemaRef ds:uri="http://schemas.openxmlformats.org/package/2006/metadata/core-properties"/>
    <ds:schemaRef ds:uri="84356c98-0a56-43f6-a19a-ab649b0633f5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f251c2ad-7566-42ce-bef5-3718a7a6b7b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2B021C4-CCB4-46C8-B9CB-6C29FF758B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FORMATO FERT</vt:lpstr>
      <vt:lpstr>FERTILIZANTES</vt:lpstr>
      <vt:lpstr>HERBICIDAS</vt:lpstr>
      <vt:lpstr>CONTROL QUIMICO </vt:lpstr>
      <vt:lpstr>COMBUSTIBLE</vt:lpstr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Barona</dc:creator>
  <cp:lastModifiedBy>Jennifer Dahiana Diaz Carmona</cp:lastModifiedBy>
  <cp:lastPrinted>2026-06-19T13:00:58Z</cp:lastPrinted>
  <dcterms:created xsi:type="dcterms:W3CDTF">2021-06-02T21:06:22Z</dcterms:created>
  <dcterms:modified xsi:type="dcterms:W3CDTF">2026-07-31T15:01:28Z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0x0101008C9FFEAC87B09F478F4984798FDF0FF5</vt:lpwstr>
  </property>
</Properties>
</file>